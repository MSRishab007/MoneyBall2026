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p\Documents\Projects\MoneyBall2026\"/>
    </mc:Choice>
  </mc:AlternateContent>
  <xr:revisionPtr revIDLastSave="0" documentId="13_ncr:1_{3469FFD8-5340-4380-A941-E34013FEADF6}" xr6:coauthVersionLast="47" xr6:coauthVersionMax="47" xr10:uidLastSave="{00000000-0000-0000-0000-000000000000}"/>
  <bookViews>
    <workbookView xWindow="-120" yWindow="-120" windowWidth="20730" windowHeight="11040" activeTab="3" xr2:uid="{19692BFB-9572-4592-AF0C-699A45FCFCB8}"/>
  </bookViews>
  <sheets>
    <sheet name="Master_List" sheetId="1" r:id="rId1"/>
    <sheet name="Auction_Log" sheetId="2" r:id="rId2"/>
    <sheet name="Dashboard" sheetId="3" r:id="rId3"/>
    <sheet name="Team Profil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5" l="1"/>
  <c r="D3" i="5"/>
  <c r="C3" i="5"/>
  <c r="B3" i="5"/>
  <c r="A3" i="5"/>
  <c r="F6" i="5"/>
  <c r="F7" i="5"/>
  <c r="B8" i="5"/>
  <c r="B7" i="5"/>
  <c r="B6" i="5"/>
  <c r="B5" i="5"/>
  <c r="A3" i="2" a="1"/>
  <c r="A2" i="2" a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C45" i="2" s="1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6" i="2"/>
  <c r="C6" i="2" s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20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F8" i="5" l="1"/>
  <c r="D8" i="5"/>
  <c r="D7" i="5"/>
  <c r="D6" i="5"/>
  <c r="D5" i="5"/>
  <c r="B9" i="5"/>
  <c r="F9" i="5" s="1"/>
  <c r="F5" i="5"/>
  <c r="H5" i="3"/>
  <c r="H6" i="3"/>
  <c r="H7" i="3"/>
  <c r="H8" i="3"/>
  <c r="H9" i="3"/>
  <c r="H10" i="3"/>
  <c r="H11" i="3"/>
  <c r="H2" i="3"/>
  <c r="G3" i="3"/>
  <c r="G4" i="3"/>
  <c r="G5" i="3"/>
  <c r="G6" i="3"/>
  <c r="G7" i="3"/>
  <c r="G8" i="3"/>
  <c r="G9" i="3"/>
  <c r="G10" i="3"/>
  <c r="G11" i="3"/>
  <c r="G2" i="3"/>
  <c r="F3" i="3"/>
  <c r="F4" i="3"/>
  <c r="F5" i="3"/>
  <c r="F6" i="3"/>
  <c r="F7" i="3"/>
  <c r="F8" i="3"/>
  <c r="J5" i="3"/>
  <c r="J7" i="3"/>
  <c r="J9" i="3"/>
  <c r="J11" i="3"/>
  <c r="I4" i="3"/>
  <c r="I5" i="3"/>
  <c r="I8" i="3"/>
  <c r="I9" i="3"/>
  <c r="I2" i="3"/>
  <c r="H4" i="3"/>
  <c r="F9" i="3"/>
  <c r="F10" i="3"/>
  <c r="F11" i="3"/>
  <c r="F2" i="3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2" i="3"/>
  <c r="E2" i="3" s="1"/>
  <c r="J4" i="3"/>
  <c r="J6" i="3"/>
  <c r="J10" i="3"/>
  <c r="J2" i="3"/>
  <c r="I6" i="3"/>
  <c r="I10" i="3"/>
  <c r="H3" i="3"/>
  <c r="J3" i="3"/>
  <c r="J8" i="3"/>
  <c r="I3" i="3"/>
  <c r="I7" i="3"/>
  <c r="I11" i="3"/>
  <c r="D9" i="5" l="1"/>
  <c r="K3" i="3"/>
  <c r="K4" i="3"/>
  <c r="K5" i="3"/>
  <c r="K6" i="3"/>
  <c r="K7" i="3"/>
  <c r="K8" i="3"/>
  <c r="K9" i="3"/>
  <c r="K10" i="3"/>
  <c r="K11" i="3"/>
  <c r="K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<sst xmlns="http://schemas.openxmlformats.org/spreadsheetml/2006/main" count="3899" uniqueCount="1021">
  <si>
    <t>S.no</t>
  </si>
  <si>
    <t>Player_Name</t>
  </si>
  <si>
    <t>player_type</t>
  </si>
  <si>
    <t>Position</t>
  </si>
  <si>
    <t>Club Name</t>
  </si>
  <si>
    <t>New Rating Overall</t>
  </si>
  <si>
    <t>Base Price</t>
  </si>
  <si>
    <t>Known As</t>
  </si>
  <si>
    <t>Full Name</t>
  </si>
  <si>
    <t>Overall</t>
  </si>
  <si>
    <t>Potential</t>
  </si>
  <si>
    <t>Value(in Euro)</t>
  </si>
  <si>
    <t>Positions Played</t>
  </si>
  <si>
    <t>Best Position</t>
  </si>
  <si>
    <t>Nationality</t>
  </si>
  <si>
    <t>Image Link</t>
  </si>
  <si>
    <t>Age</t>
  </si>
  <si>
    <t>Height(in cm)</t>
  </si>
  <si>
    <t>Weight(in kg)</t>
  </si>
  <si>
    <t>TotalStats</t>
  </si>
  <si>
    <t>BaseStats</t>
  </si>
  <si>
    <t>Wage(in Euro)</t>
  </si>
  <si>
    <t>Release Clause</t>
  </si>
  <si>
    <t>Club Position</t>
  </si>
  <si>
    <t>Contract Until</t>
  </si>
  <si>
    <t>Club Jersey Number</t>
  </si>
  <si>
    <t>Joined On</t>
  </si>
  <si>
    <t>On Loan</t>
  </si>
  <si>
    <t>Preferred Foot</t>
  </si>
  <si>
    <t>Weak Foot Rating</t>
  </si>
  <si>
    <t>Skill Moves</t>
  </si>
  <si>
    <t>International Reputation</t>
  </si>
  <si>
    <t>National Team Name</t>
  </si>
  <si>
    <t>National Team Image Link</t>
  </si>
  <si>
    <t>National Team Position</t>
  </si>
  <si>
    <t>National Team Jersey Number</t>
  </si>
  <si>
    <t>Attacking Work Rate</t>
  </si>
  <si>
    <t>Defensive Work Rate</t>
  </si>
  <si>
    <t>Pace Total</t>
  </si>
  <si>
    <t>Shooting Total</t>
  </si>
  <si>
    <t>Passing Total</t>
  </si>
  <si>
    <t>Dribbling Total</t>
  </si>
  <si>
    <t>Defending Total</t>
  </si>
  <si>
    <t>Physicality Total</t>
  </si>
  <si>
    <t>Crossing</t>
  </si>
  <si>
    <t>Finishing</t>
  </si>
  <si>
    <t>Heading Accuracy</t>
  </si>
  <si>
    <t>Short Passing</t>
  </si>
  <si>
    <t>Volleys</t>
  </si>
  <si>
    <t>Dribbling</t>
  </si>
  <si>
    <t>Curve</t>
  </si>
  <si>
    <t>Freekick Accuracy</t>
  </si>
  <si>
    <t>LongPassing</t>
  </si>
  <si>
    <t>BallControl</t>
  </si>
  <si>
    <t>Acceleration</t>
  </si>
  <si>
    <t>Sprint Speed</t>
  </si>
  <si>
    <t>Agility</t>
  </si>
  <si>
    <t>Reactions</t>
  </si>
  <si>
    <t>Balance</t>
  </si>
  <si>
    <t>Shot Power</t>
  </si>
  <si>
    <t>Jumping</t>
  </si>
  <si>
    <t>Stamina</t>
  </si>
  <si>
    <t>Strength</t>
  </si>
  <si>
    <t>Long Shots</t>
  </si>
  <si>
    <t>Aggression</t>
  </si>
  <si>
    <t>Interceptions</t>
  </si>
  <si>
    <t>Positioning</t>
  </si>
  <si>
    <t>Vision</t>
  </si>
  <si>
    <t>Penalties</t>
  </si>
  <si>
    <t>Composure</t>
  </si>
  <si>
    <t>Marking</t>
  </si>
  <si>
    <t>Standing Tackle</t>
  </si>
  <si>
    <t>Sliding Tackle</t>
  </si>
  <si>
    <t>Goalkeeper Diving</t>
  </si>
  <si>
    <t>Goalkeeper Handling</t>
  </si>
  <si>
    <t xml:space="preserve"> GoalkeeperKicking</t>
  </si>
  <si>
    <t>Goalkeeper Positioning</t>
  </si>
  <si>
    <t>Goalkeeper Reflexes</t>
  </si>
  <si>
    <t>ST Rating</t>
  </si>
  <si>
    <t>LW Rating</t>
  </si>
  <si>
    <t>LF Rating</t>
  </si>
  <si>
    <t>CF Rating</t>
  </si>
  <si>
    <t>RF Rating</t>
  </si>
  <si>
    <t>RW Rating</t>
  </si>
  <si>
    <t>CAM Rating</t>
  </si>
  <si>
    <t>LM Rating</t>
  </si>
  <si>
    <t>CM Rating</t>
  </si>
  <si>
    <t>RM Rating</t>
  </si>
  <si>
    <t>LWB Rating</t>
  </si>
  <si>
    <t>CDM Rating</t>
  </si>
  <si>
    <t>RWB Rating</t>
  </si>
  <si>
    <t>LB Rating</t>
  </si>
  <si>
    <t>CB Rating</t>
  </si>
  <si>
    <t>RB Rating</t>
  </si>
  <si>
    <t>GK Rating</t>
  </si>
  <si>
    <t>Kevin De Bruyne</t>
  </si>
  <si>
    <t>Midfield</t>
  </si>
  <si>
    <t>CM</t>
  </si>
  <si>
    <t>Manchester City</t>
  </si>
  <si>
    <t>K. De Bruyne</t>
  </si>
  <si>
    <t>CM,CAM</t>
  </si>
  <si>
    <t>Belgium</t>
  </si>
  <si>
    <t>https://cdn.sofifa.net/players/192/985/23_60.png</t>
  </si>
  <si>
    <t>-</t>
  </si>
  <si>
    <t>Right</t>
  </si>
  <si>
    <t>https://cdn.sofifa.net/flags/be.png</t>
  </si>
  <si>
    <t>RF</t>
  </si>
  <si>
    <t>High</t>
  </si>
  <si>
    <t>Casemiro</t>
  </si>
  <si>
    <t>CDM</t>
  </si>
  <si>
    <t>Manchester United</t>
  </si>
  <si>
    <t>Carlos Henrique Venancio Casimiro</t>
  </si>
  <si>
    <t>Brazil</t>
  </si>
  <si>
    <t>https://cdn.sofifa.net/players/200/145/23_60.png</t>
  </si>
  <si>
    <t>SUB</t>
  </si>
  <si>
    <t>https://cdn.sofifa.net/flags/br.png</t>
  </si>
  <si>
    <t>Medium</t>
  </si>
  <si>
    <t>Luka Modric</t>
  </si>
  <si>
    <t>Real Madrid</t>
  </si>
  <si>
    <t>L. Modrić</t>
  </si>
  <si>
    <t>Luka Modrić</t>
  </si>
  <si>
    <t>Croatia</t>
  </si>
  <si>
    <t>https://cdn.sofifa.net/players/177/003/23_60.png</t>
  </si>
  <si>
    <t>Real Madrid CF</t>
  </si>
  <si>
    <t>https://cdn.sofifa.net/flags/hr.png</t>
  </si>
  <si>
    <t>Toni Kroos</t>
  </si>
  <si>
    <t>T. Kroos</t>
  </si>
  <si>
    <t>Germany</t>
  </si>
  <si>
    <t>https://cdn.sofifa.net/players/182/521/23_60.png</t>
  </si>
  <si>
    <t>https://cdn.sofifa.net/flags/de.png</t>
  </si>
  <si>
    <t>Bernardo Silva</t>
  </si>
  <si>
    <t>Bernardo Mota Carvalho e Silva</t>
  </si>
  <si>
    <t>CAM,CM</t>
  </si>
  <si>
    <t>CAM</t>
  </si>
  <si>
    <t>Portugal</t>
  </si>
  <si>
    <t>https://cdn.sofifa.net/players/218/667/23_60.png</t>
  </si>
  <si>
    <t>RW</t>
  </si>
  <si>
    <t>Left</t>
  </si>
  <si>
    <t>https://cdn.sofifa.net/flags/pt.png</t>
  </si>
  <si>
    <t>Frenkie de Jong</t>
  </si>
  <si>
    <t>Barcelona</t>
  </si>
  <si>
    <t>F. de Jong</t>
  </si>
  <si>
    <t>Netherlands</t>
  </si>
  <si>
    <t>https://cdn.sofifa.net/players/228/702/23_60.png</t>
  </si>
  <si>
    <t>FC Barcelona</t>
  </si>
  <si>
    <t>https://cdn.sofifa.net/flags/nl.png</t>
  </si>
  <si>
    <t>Leon Goretzka</t>
  </si>
  <si>
    <t>Bayern Munich</t>
  </si>
  <si>
    <t>L. Goretzka</t>
  </si>
  <si>
    <t>CM,CDM</t>
  </si>
  <si>
    <t>https://cdn.sofifa.net/players/209/658/23_60.png</t>
  </si>
  <si>
    <t>FC Bayern München</t>
  </si>
  <si>
    <t>Verratti</t>
  </si>
  <si>
    <t>PSG</t>
  </si>
  <si>
    <t>M. Verratti</t>
  </si>
  <si>
    <t>Marco Verratti</t>
  </si>
  <si>
    <t>Italy</t>
  </si>
  <si>
    <t>https://cdn.sofifa.net/players/199/556/23_60.png</t>
  </si>
  <si>
    <t>Paris Saint-Germain</t>
  </si>
  <si>
    <t>https://cdn.sofifa.net/flags/it.png</t>
  </si>
  <si>
    <t>Bruno Fernandes</t>
  </si>
  <si>
    <t xml:space="preserve">CAM </t>
  </si>
  <si>
    <t>Bruno Miguel Borges Fernandes</t>
  </si>
  <si>
    <t>https://cdn.sofifa.net/players/212/198/23_60.png</t>
  </si>
  <si>
    <t>Jude Bellingham</t>
  </si>
  <si>
    <t>J. Bellingham</t>
  </si>
  <si>
    <t>CM,LM</t>
  </si>
  <si>
    <t>England</t>
  </si>
  <si>
    <t>https://cdn.sofifa.net/players/252/371/23_60.png</t>
  </si>
  <si>
    <t>Borussia Dortmund</t>
  </si>
  <si>
    <t>https://cdn.sofifa.net/flags/gb-eng.png</t>
  </si>
  <si>
    <t>Federico Valverde</t>
  </si>
  <si>
    <t>F. Valverde</t>
  </si>
  <si>
    <t>CM,RW</t>
  </si>
  <si>
    <t>Uruguay</t>
  </si>
  <si>
    <t>https://cdn.sofifa.net/players/239/053/23_60.png</t>
  </si>
  <si>
    <t>https://cdn.sofifa.net/flags/uy.png</t>
  </si>
  <si>
    <t>Fabinho</t>
  </si>
  <si>
    <t>Al-Ittihad</t>
  </si>
  <si>
    <t>Fábio Henrique Tavares</t>
  </si>
  <si>
    <t>CDM,CB</t>
  </si>
  <si>
    <t>https://cdn.sofifa.net/players/209/499/23_60.png</t>
  </si>
  <si>
    <t>Liverpool</t>
  </si>
  <si>
    <t>Nicolò Barella</t>
  </si>
  <si>
    <t>Inter Milan</t>
  </si>
  <si>
    <t>N. Barella</t>
  </si>
  <si>
    <t>https://cdn.sofifa.net/players/224/232/23_60.png</t>
  </si>
  <si>
    <t>Inter</t>
  </si>
  <si>
    <t>Milinkovic Savic</t>
  </si>
  <si>
    <t>Al-Nasar</t>
  </si>
  <si>
    <t>V. Milinković-Savić</t>
  </si>
  <si>
    <t>Vanja Milinković-Savić</t>
  </si>
  <si>
    <t>GK</t>
  </si>
  <si>
    <t>Serbia</t>
  </si>
  <si>
    <t>https://cdn.sofifa.net/players/224/836/23_60.png</t>
  </si>
  <si>
    <t>Torino F.C.</t>
  </si>
  <si>
    <t>Thiago Alcantara</t>
  </si>
  <si>
    <t>Thiago</t>
  </si>
  <si>
    <t>Thiago Alcântara</t>
  </si>
  <si>
    <t>Spain</t>
  </si>
  <si>
    <t>https://cdn.sofifa.net/players/189/509/23_60.png</t>
  </si>
  <si>
    <t>https://cdn.sofifa.net/flags/es.png</t>
  </si>
  <si>
    <t>Thomas Muller</t>
  </si>
  <si>
    <t>T. Müller</t>
  </si>
  <si>
    <t>Thomas Müller</t>
  </si>
  <si>
    <t>CAM,CF</t>
  </si>
  <si>
    <t>https://cdn.sofifa.net/players/189/596/23_60.png</t>
  </si>
  <si>
    <t>Ilkay Gundogan</t>
  </si>
  <si>
    <t>İ. Gündoğan</t>
  </si>
  <si>
    <t>İlkay Gündoğan</t>
  </si>
  <si>
    <t>https://cdn.sofifa.net/players/186/942/23_60.png</t>
  </si>
  <si>
    <t>Marco Reus</t>
  </si>
  <si>
    <t>Dortmund</t>
  </si>
  <si>
    <t>M. Reus</t>
  </si>
  <si>
    <t>CAM,CF,RM</t>
  </si>
  <si>
    <t>https://cdn.sofifa.net/players/188/350/23_60.png</t>
  </si>
  <si>
    <t>Jorginho</t>
  </si>
  <si>
    <t>Arsenal</t>
  </si>
  <si>
    <t>Luiz Frello Filho Jorge</t>
  </si>
  <si>
    <t>https://cdn.sofifa.net/players/205/498/23_60.png</t>
  </si>
  <si>
    <t>Chelsea</t>
  </si>
  <si>
    <t>Pedri</t>
  </si>
  <si>
    <t>Pedro González López</t>
  </si>
  <si>
    <t>https://cdn.sofifa.net/players/251/854/23_60.png</t>
  </si>
  <si>
    <t>Martin Odegard</t>
  </si>
  <si>
    <t>M. Ødegaard</t>
  </si>
  <si>
    <t>Martin Ødegaard</t>
  </si>
  <si>
    <t>Norway</t>
  </si>
  <si>
    <t>https://cdn.sofifa.net/players/222/665/23_60.png</t>
  </si>
  <si>
    <t>https://cdn.sofifa.net/flags/no.png</t>
  </si>
  <si>
    <t>Florian Writz</t>
  </si>
  <si>
    <t>Bayern Leverkusen</t>
  </si>
  <si>
    <t>F. Wirtz</t>
  </si>
  <si>
    <t>Florian Wirtz</t>
  </si>
  <si>
    <t>https://cdn.sofifa.net/players/256/630/23_60.png</t>
  </si>
  <si>
    <t>Bayer 04 Leverkusen</t>
  </si>
  <si>
    <t>RES</t>
  </si>
  <si>
    <t>James Maddison</t>
  </si>
  <si>
    <t>Leicester City</t>
  </si>
  <si>
    <t>J. Maddison</t>
  </si>
  <si>
    <t>CAM,RM</t>
  </si>
  <si>
    <t>https://cdn.sofifa.net/players/220/697/23_60.png</t>
  </si>
  <si>
    <t>RM</t>
  </si>
  <si>
    <t>Declan Rice</t>
  </si>
  <si>
    <t>D. Rice</t>
  </si>
  <si>
    <t>https://cdn.sofifa.net/players/234/378/23_60.png</t>
  </si>
  <si>
    <t>West Ham United</t>
  </si>
  <si>
    <t>Youri Tielemans</t>
  </si>
  <si>
    <t>Aston Villa</t>
  </si>
  <si>
    <t>Y. Tielemans</t>
  </si>
  <si>
    <t>https://cdn.sofifa.net/players/216/393/23_60.png</t>
  </si>
  <si>
    <t>Marcos Llorente</t>
  </si>
  <si>
    <t>Atletico de Madrid</t>
  </si>
  <si>
    <t>Marcos Llorente Moreno</t>
  </si>
  <si>
    <t>CM,RM,RB</t>
  </si>
  <si>
    <t>https://cdn.sofifa.net/players/226/161/23_60.png</t>
  </si>
  <si>
    <t>Atlético de Madrid</t>
  </si>
  <si>
    <t>Thomas Partey</t>
  </si>
  <si>
    <t>T. Partey</t>
  </si>
  <si>
    <t>CDM,CM</t>
  </si>
  <si>
    <t>Ghana</t>
  </si>
  <si>
    <t>https://cdn.sofifa.net/players/209/989/23_60.png</t>
  </si>
  <si>
    <t>https://cdn.sofifa.net/flags/gh.png</t>
  </si>
  <si>
    <t>Sandro Tonali</t>
  </si>
  <si>
    <t>Newcastle United</t>
  </si>
  <si>
    <t>S. Tonali</t>
  </si>
  <si>
    <t>https://cdn.sofifa.net/players/241/096/23_60.png</t>
  </si>
  <si>
    <t>AC Milan</t>
  </si>
  <si>
    <t>Hakan Calhanoglu</t>
  </si>
  <si>
    <t>H. Çalhanoğlu</t>
  </si>
  <si>
    <t>Hakan Çalhanoğlu</t>
  </si>
  <si>
    <t>Turkey</t>
  </si>
  <si>
    <t>https://cdn.sofifa.net/players/208/128/23_60.png</t>
  </si>
  <si>
    <t>https://cdn.sofifa.net/flags/tr.png</t>
  </si>
  <si>
    <t>Pierre-Emile Hojbjerg</t>
  </si>
  <si>
    <t>Spurs</t>
  </si>
  <si>
    <t>P. Højbjerg</t>
  </si>
  <si>
    <t>Pierre-Emile Højbjerg</t>
  </si>
  <si>
    <t>Denmark</t>
  </si>
  <si>
    <t>https://cdn.sofifa.net/players/213/648/23_60.png</t>
  </si>
  <si>
    <t>Tottenham Hotspur</t>
  </si>
  <si>
    <t>https://cdn.sofifa.net/flags/dk.png</t>
  </si>
  <si>
    <t>Maddison</t>
  </si>
  <si>
    <t>De Paul</t>
  </si>
  <si>
    <t>Atletico Madrid</t>
  </si>
  <si>
    <t>R. De Paul</t>
  </si>
  <si>
    <t>Rodrigo Javier De Paul</t>
  </si>
  <si>
    <t>Argentina</t>
  </si>
  <si>
    <t>https://cdn.sofifa.net/players/212/616/23_60.png</t>
  </si>
  <si>
    <t>https://cdn.sofifa.net/flags/ar.png</t>
  </si>
  <si>
    <t>Carrasco</t>
  </si>
  <si>
    <t>LM</t>
  </si>
  <si>
    <t>Y. Carrasco</t>
  </si>
  <si>
    <t>Yannick Carrasco</t>
  </si>
  <si>
    <t>https://cdn.sofifa.net/players/208/418/23_60.png</t>
  </si>
  <si>
    <t>Bruno Guimaraes</t>
  </si>
  <si>
    <t>New Castle United</t>
  </si>
  <si>
    <t>Bruno Guimarães</t>
  </si>
  <si>
    <t>Bruno Guimarães Moura</t>
  </si>
  <si>
    <t>https://cdn.sofifa.net/players/247/851/23_60.png</t>
  </si>
  <si>
    <t>Rodri</t>
  </si>
  <si>
    <t>Rodrigo Hernández Cascante</t>
  </si>
  <si>
    <t>https://cdn.sofifa.net/players/231/866/23_60.png</t>
  </si>
  <si>
    <t>Mason Mount</t>
  </si>
  <si>
    <t>M. Mount</t>
  </si>
  <si>
    <t>CAM,RW</t>
  </si>
  <si>
    <t>https://cdn.sofifa.net/players/233/064/23_60.png</t>
  </si>
  <si>
    <t>Kai Havertz</t>
  </si>
  <si>
    <t>K. Havertz</t>
  </si>
  <si>
    <t>CAM,CF,ST</t>
  </si>
  <si>
    <t>https://cdn.sofifa.net/players/235/790/23_60.png</t>
  </si>
  <si>
    <t>LW</t>
  </si>
  <si>
    <t>Mateo Kovacic</t>
  </si>
  <si>
    <t>M. Kovačić</t>
  </si>
  <si>
    <t>Mateo Kovačić</t>
  </si>
  <si>
    <t>https://cdn.sofifa.net/players/207/410/23_60.png</t>
  </si>
  <si>
    <t>Thomas Lemar</t>
  </si>
  <si>
    <t>T. Lemar</t>
  </si>
  <si>
    <t>CM,LM,RM</t>
  </si>
  <si>
    <t>France</t>
  </si>
  <si>
    <t>https://cdn.sofifa.net/players/213/565/23_60.png</t>
  </si>
  <si>
    <t>https://cdn.sofifa.net/flags/fr.png</t>
  </si>
  <si>
    <t>Piotr Zielinski</t>
  </si>
  <si>
    <t>Napoli</t>
  </si>
  <si>
    <t>P. Zieliński</t>
  </si>
  <si>
    <t>Piotr Zieliński</t>
  </si>
  <si>
    <t>Poland</t>
  </si>
  <si>
    <t>https://cdn.sofifa.net/players/210/406/23_60.png</t>
  </si>
  <si>
    <t>https://cdn.sofifa.net/flags/pl.png</t>
  </si>
  <si>
    <t>Fabian Ruiz</t>
  </si>
  <si>
    <t>F. Frei</t>
  </si>
  <si>
    <t>Fabian Frei</t>
  </si>
  <si>
    <t>CB,CDM</t>
  </si>
  <si>
    <t>Switzerland</t>
  </si>
  <si>
    <t>https://cdn.sofifa.net/players/183/346/23_60.png</t>
  </si>
  <si>
    <t>FC Basel 1893</t>
  </si>
  <si>
    <t>https://cdn.sofifa.net/flags/ch.png</t>
  </si>
  <si>
    <t>Aurélien Tchouaméni</t>
  </si>
  <si>
    <t>A. Tchouaméni</t>
  </si>
  <si>
    <t>https://cdn.sofifa.net/players/241/637/23_60.png</t>
  </si>
  <si>
    <t>Eriksen</t>
  </si>
  <si>
    <t>K. Eriksen</t>
  </si>
  <si>
    <t>Kristian Eriksen</t>
  </si>
  <si>
    <t>https://cdn.sofifa.net/players/267/685/23_60.png</t>
  </si>
  <si>
    <t>Molde FK</t>
  </si>
  <si>
    <t>Bentancur</t>
  </si>
  <si>
    <t>R. Bentancur</t>
  </si>
  <si>
    <t>Rodrigo Bentancur</t>
  </si>
  <si>
    <t>https://cdn.sofifa.net/players/227/535/23_60.png</t>
  </si>
  <si>
    <t>Koke</t>
  </si>
  <si>
    <t>Jorge Resurrección</t>
  </si>
  <si>
    <t>https://cdn.sofifa.net/players/193/747/23_60.png</t>
  </si>
  <si>
    <t>Xhaka</t>
  </si>
  <si>
    <t>Bayer Leverkusen</t>
  </si>
  <si>
    <t>T. Xhaka</t>
  </si>
  <si>
    <t>Taulant Xhaka</t>
  </si>
  <si>
    <t>Albania</t>
  </si>
  <si>
    <t>https://cdn.sofifa.net/players/199/504/23_60.png</t>
  </si>
  <si>
    <t>Enzo Fernandez</t>
  </si>
  <si>
    <t>E. Fernández</t>
  </si>
  <si>
    <t>Enzo Fernández</t>
  </si>
  <si>
    <t>https://cdn.sofifa.net/players/247/090/23_60.png</t>
  </si>
  <si>
    <t>SL Benfica</t>
  </si>
  <si>
    <t>Marcel Sabitzer</t>
  </si>
  <si>
    <t>M. Sabitzer</t>
  </si>
  <si>
    <t>CM,CDM,CAM</t>
  </si>
  <si>
    <t>Austria</t>
  </si>
  <si>
    <t>https://cdn.sofifa.net/players/204/923/23_60.png</t>
  </si>
  <si>
    <t>https://cdn.sofifa.net/flags/at.png</t>
  </si>
  <si>
    <t>Lo Celso</t>
  </si>
  <si>
    <t>G. Lo Celso</t>
  </si>
  <si>
    <t>Giovani Lo Celso</t>
  </si>
  <si>
    <t>CM,ST,LM</t>
  </si>
  <si>
    <t>https://cdn.sofifa.net/players/226/226/23_60.png</t>
  </si>
  <si>
    <t>Villarreal CF</t>
  </si>
  <si>
    <t>Ugarte</t>
  </si>
  <si>
    <t>M. Ugarte</t>
  </si>
  <si>
    <t>Manuel Ugarte</t>
  </si>
  <si>
    <t>https://cdn.sofifa.net/players/253/306/23_60.png</t>
  </si>
  <si>
    <t>Sporting CP</t>
  </si>
  <si>
    <t>Camavinga</t>
  </si>
  <si>
    <t>E. Camavinga</t>
  </si>
  <si>
    <t>Eduardo Camavinga</t>
  </si>
  <si>
    <t>https://cdn.sofifa.net/players/248/243/23_60.png</t>
  </si>
  <si>
    <t>Gavi</t>
  </si>
  <si>
    <t>Pablo Martín Páez Gavira</t>
  </si>
  <si>
    <t>CM,LW,RW</t>
  </si>
  <si>
    <t>https://cdn.sofifa.net/players/264/240/23_60.png</t>
  </si>
  <si>
    <t>Alexis Mac Allister</t>
  </si>
  <si>
    <t>A. Mac Allister</t>
  </si>
  <si>
    <t>https://cdn.sofifa.net/players/239/837/23_60.png</t>
  </si>
  <si>
    <t>Brighton &amp; Hove Albion</t>
  </si>
  <si>
    <t>N'golo Kante</t>
  </si>
  <si>
    <t>N. Kanté</t>
  </si>
  <si>
    <t>N'Golo Kanté</t>
  </si>
  <si>
    <t>https://cdn.sofifa.net/players/215/914/23_60.png</t>
  </si>
  <si>
    <t>Daniel Parejo Munoz</t>
  </si>
  <si>
    <t>Parejo</t>
  </si>
  <si>
    <t>Daniel Parejo Muñoz</t>
  </si>
  <si>
    <t>https://cdn.sofifa.net/players/189/513/23_60.png</t>
  </si>
  <si>
    <t>Paul Pogba</t>
  </si>
  <si>
    <t>Juventus FC</t>
  </si>
  <si>
    <t>P. Pogba</t>
  </si>
  <si>
    <t>CM,CDM,LM</t>
  </si>
  <si>
    <t>https://cdn.sofifa.net/players/195/864/23_60.png</t>
  </si>
  <si>
    <t>Juventus</t>
  </si>
  <si>
    <t>Low</t>
  </si>
  <si>
    <t>Musiala</t>
  </si>
  <si>
    <t>J. Musiala</t>
  </si>
  <si>
    <t>Jamal Musiala</t>
  </si>
  <si>
    <t>CM,LM,CAM</t>
  </si>
  <si>
    <t>https://cdn.sofifa.net/players/256/790/23_60.png</t>
  </si>
  <si>
    <t>Thibaut Courtois</t>
  </si>
  <si>
    <t>Goalkeeper</t>
  </si>
  <si>
    <t>T. Courtois</t>
  </si>
  <si>
    <t>https://cdn.sofifa.net/players/192/119/23_60.png</t>
  </si>
  <si>
    <t>Allison</t>
  </si>
  <si>
    <t>Allyson</t>
  </si>
  <si>
    <t>Allyson Aires dos Santos</t>
  </si>
  <si>
    <t>CB</t>
  </si>
  <si>
    <t>https://cdn.sofifa.net/players/269/870/23_60.png</t>
  </si>
  <si>
    <t>Ümraniyespor</t>
  </si>
  <si>
    <t>Ederson</t>
  </si>
  <si>
    <t>Ederson Santana de Moraes</t>
  </si>
  <si>
    <t>https://cdn.sofifa.net/players/210/257/23_60.png</t>
  </si>
  <si>
    <t>Manuel Neuer</t>
  </si>
  <si>
    <t>Bayern munich</t>
  </si>
  <si>
    <t>M. Neuer</t>
  </si>
  <si>
    <t>https://cdn.sofifa.net/players/167/495/23_60.png</t>
  </si>
  <si>
    <t>Jan Oblak</t>
  </si>
  <si>
    <t>J. Oblak</t>
  </si>
  <si>
    <t>Slovenia</t>
  </si>
  <si>
    <t>https://cdn.sofifa.net/players/200/389/23_60.png</t>
  </si>
  <si>
    <t>Ter Stegen</t>
  </si>
  <si>
    <t>M. ter Stegen</t>
  </si>
  <si>
    <t>Marc-André ter Stegen</t>
  </si>
  <si>
    <t>https://cdn.sofifa.net/players/192/448/23_60.png</t>
  </si>
  <si>
    <t>Gianluigi Donnarumma</t>
  </si>
  <si>
    <t>G. Donnarumma</t>
  </si>
  <si>
    <t>https://cdn.sofifa.net/players/230/621/23_60.png</t>
  </si>
  <si>
    <t>Mike Maignan</t>
  </si>
  <si>
    <t>M. Maignan</t>
  </si>
  <si>
    <t>https://cdn.sofifa.net/players/215/698/23_60.png</t>
  </si>
  <si>
    <t>Kevin Trapp</t>
  </si>
  <si>
    <t>K. Trapp</t>
  </si>
  <si>
    <t>https://cdn.sofifa.net/players/188/943/23_60.png</t>
  </si>
  <si>
    <t>Eintracht Frankfurt</t>
  </si>
  <si>
    <t>Wojciech Szczeny</t>
  </si>
  <si>
    <t>W. Szczęsny</t>
  </si>
  <si>
    <t>Wojciech Szczęsny</t>
  </si>
  <si>
    <t>https://cdn.sofifa.net/players/186/153/23_60.png</t>
  </si>
  <si>
    <t>Emiliano Martinez</t>
  </si>
  <si>
    <t>Aston villa</t>
  </si>
  <si>
    <t>E. Martínez</t>
  </si>
  <si>
    <t>Emiliano Martínez</t>
  </si>
  <si>
    <t>https://cdn.sofifa.net/players/202/811/23_60.png</t>
  </si>
  <si>
    <t>Yan Sommer</t>
  </si>
  <si>
    <t>Y. Sommer</t>
  </si>
  <si>
    <t>Yann Sommer</t>
  </si>
  <si>
    <t>https://cdn.sofifa.net/players/177/683/23_60.png</t>
  </si>
  <si>
    <t>Borussia Mönchengladbach</t>
  </si>
  <si>
    <t>Llories</t>
  </si>
  <si>
    <t>H. Lloris</t>
  </si>
  <si>
    <t>Hugo Lloris</t>
  </si>
  <si>
    <t>https://cdn.sofifa.net/players/167/948/23_60.png</t>
  </si>
  <si>
    <t>Kobel</t>
  </si>
  <si>
    <t>G. Kobel</t>
  </si>
  <si>
    <t>Gregor Kobel</t>
  </si>
  <si>
    <t>https://cdn.sofifa.net/players/235/073/23_60.png</t>
  </si>
  <si>
    <t>Nick Pope</t>
  </si>
  <si>
    <t>N. Pope</t>
  </si>
  <si>
    <t>https://cdn.sofifa.net/players/203/841/23_60.png</t>
  </si>
  <si>
    <t>Unai Simon</t>
  </si>
  <si>
    <t>Athletic Bilbao</t>
  </si>
  <si>
    <t>Unai Simón</t>
  </si>
  <si>
    <t>Unai Simón Mendibil</t>
  </si>
  <si>
    <t>https://cdn.sofifa.net/players/230/869/23_60.png</t>
  </si>
  <si>
    <t>Athletic Club de Bilbao</t>
  </si>
  <si>
    <t>Aaron Ramsdale</t>
  </si>
  <si>
    <t>Southampton</t>
  </si>
  <si>
    <t>A. Ramsdale</t>
  </si>
  <si>
    <t>https://cdn.sofifa.net/players/233/934/23_60.png</t>
  </si>
  <si>
    <t>Jordan Pickford</t>
  </si>
  <si>
    <t>Everton</t>
  </si>
  <si>
    <t>J. Pickford</t>
  </si>
  <si>
    <t>https://cdn.sofifa.net/players/204/935/23_60.png</t>
  </si>
  <si>
    <t>Kepa Arrizabalaga</t>
  </si>
  <si>
    <t>Kepa</t>
  </si>
  <si>
    <t>https://cdn.sofifa.net/players/206/585/23_60.png</t>
  </si>
  <si>
    <t>David De Gea Quintana</t>
  </si>
  <si>
    <t>De Gea</t>
  </si>
  <si>
    <t>https://cdn.sofifa.net/players/193/080/23_60.png</t>
  </si>
  <si>
    <t>Keylor navas</t>
  </si>
  <si>
    <t>NOTTING FOREST</t>
  </si>
  <si>
    <t>K. Navas</t>
  </si>
  <si>
    <t>Keylor Navas</t>
  </si>
  <si>
    <t>Costa Rica</t>
  </si>
  <si>
    <t>https://cdn.sofifa.net/players/193/041/23_60.png</t>
  </si>
  <si>
    <t>Peter Gulacsy</t>
  </si>
  <si>
    <t>RB LEIPG</t>
  </si>
  <si>
    <t>P. Gulácsi</t>
  </si>
  <si>
    <t>Péter Gulácsi</t>
  </si>
  <si>
    <t>Hungary</t>
  </si>
  <si>
    <t>https://cdn.sofifa.net/players/185/122/23_60.png</t>
  </si>
  <si>
    <t>RB Leipzig</t>
  </si>
  <si>
    <t>https://cdn.sofifa.net/flags/hu.png</t>
  </si>
  <si>
    <t>Yassine bounou</t>
  </si>
  <si>
    <t>Sevilla FC</t>
  </si>
  <si>
    <t>Y. Bounou</t>
  </si>
  <si>
    <t>Yassine Bounou</t>
  </si>
  <si>
    <t>Morocco</t>
  </si>
  <si>
    <t>https://cdn.sofifa.net/players/209/981/23_60.png</t>
  </si>
  <si>
    <t>https://cdn.sofifa.net/flags/ma.png</t>
  </si>
  <si>
    <t>Koen Casteels</t>
  </si>
  <si>
    <t>VFL woldfsburg</t>
  </si>
  <si>
    <t>K. Casteels</t>
  </si>
  <si>
    <t>https://cdn.sofifa.net/players/192/984/23_60.png</t>
  </si>
  <si>
    <t>VfL Wolfsburg</t>
  </si>
  <si>
    <t>Kylian Mbappe</t>
  </si>
  <si>
    <t>Forwards</t>
  </si>
  <si>
    <t>ST</t>
  </si>
  <si>
    <t>K. Mbappé</t>
  </si>
  <si>
    <t>Kylian Mbappé</t>
  </si>
  <si>
    <t>ST,LW</t>
  </si>
  <si>
    <t>https://cdn.sofifa.net/players/231/747/23_60.png</t>
  </si>
  <si>
    <t>Robert Lewandowski</t>
  </si>
  <si>
    <t>R. Lewandowski</t>
  </si>
  <si>
    <t>https://cdn.sofifa.net/players/188/545/23_60.png</t>
  </si>
  <si>
    <t>Lionel Messi</t>
  </si>
  <si>
    <t>L. Messi</t>
  </si>
  <si>
    <t>https://cdn.sofifa.net/players/158/023/23_60.png</t>
  </si>
  <si>
    <t>Karim Benzema</t>
  </si>
  <si>
    <t>CF</t>
  </si>
  <si>
    <t>K. Benzema</t>
  </si>
  <si>
    <t>CF,ST</t>
  </si>
  <si>
    <t>https://cdn.sofifa.net/players/165/153/23_60.png</t>
  </si>
  <si>
    <t>Mohamed Salah</t>
  </si>
  <si>
    <t>M. Salah</t>
  </si>
  <si>
    <t>Egypt</t>
  </si>
  <si>
    <t>https://cdn.sofifa.net/players/209/331/23_60.png</t>
  </si>
  <si>
    <t>Harry Kane</t>
  </si>
  <si>
    <t>H. Kane</t>
  </si>
  <si>
    <t>https://cdn.sofifa.net/players/202/126/23_60.png</t>
  </si>
  <si>
    <t>Erling Haaland</t>
  </si>
  <si>
    <t>E. Haaland</t>
  </si>
  <si>
    <t>https://cdn.sofifa.net/players/239/085/23_60.png</t>
  </si>
  <si>
    <t>Neymar</t>
  </si>
  <si>
    <t>Neymar Jr</t>
  </si>
  <si>
    <t>Neymar da Silva Santos Jr.</t>
  </si>
  <si>
    <t>https://cdn.sofifa.net/players/190/871/23_60.png</t>
  </si>
  <si>
    <t>Sadio Mane</t>
  </si>
  <si>
    <t>S. Mané</t>
  </si>
  <si>
    <t>Sadio Mané</t>
  </si>
  <si>
    <t>LM,CF</t>
  </si>
  <si>
    <t>Senegal</t>
  </si>
  <si>
    <t>https://cdn.sofifa.net/players/208/722/23_60.png</t>
  </si>
  <si>
    <t>Heun-min Son</t>
  </si>
  <si>
    <t>H. Son</t>
  </si>
  <si>
    <t>Heung Min Son</t>
  </si>
  <si>
    <t>LW,LM</t>
  </si>
  <si>
    <t>Korea Republic</t>
  </si>
  <si>
    <t>https://cdn.sofifa.net/players/200/104/23_60.png</t>
  </si>
  <si>
    <t>Cristiano Ronaldo</t>
  </si>
  <si>
    <t>Al-Nassar</t>
  </si>
  <si>
    <t>C. Ronaldo dos Santos Aveiro</t>
  </si>
  <si>
    <t>https://cdn.sofifa.net/players/020/801/23_60.png</t>
  </si>
  <si>
    <t>Paulo Dybala</t>
  </si>
  <si>
    <t>Roma</t>
  </si>
  <si>
    <t>P. Dybala</t>
  </si>
  <si>
    <t>CF,CAM</t>
  </si>
  <si>
    <t>https://cdn.sofifa.net/players/211/110/23_60.png</t>
  </si>
  <si>
    <t>Vinicius Junior</t>
  </si>
  <si>
    <t>Vinícius Jr.</t>
  </si>
  <si>
    <t>Vinícius José de Oliveira Júnior</t>
  </si>
  <si>
    <t>https://cdn.sofifa.net/players/238/794/23_60.png</t>
  </si>
  <si>
    <t>Ciro Immobile</t>
  </si>
  <si>
    <t>Lazio</t>
  </si>
  <si>
    <t>C. Immobile</t>
  </si>
  <si>
    <t>https://cdn.sofifa.net/players/192/387/23_60.png</t>
  </si>
  <si>
    <t>Lautaro Martinez</t>
  </si>
  <si>
    <t>L. Martínez</t>
  </si>
  <si>
    <t>Lautaro Martínez</t>
  </si>
  <si>
    <t>https://cdn.sofifa.net/players/231/478/23_60.png</t>
  </si>
  <si>
    <t>Phil Foden</t>
  </si>
  <si>
    <t>P. Foden</t>
  </si>
  <si>
    <t>LW,CF,CAM</t>
  </si>
  <si>
    <t>https://cdn.sofifa.net/players/237/692/23_60.png</t>
  </si>
  <si>
    <t>Raheem Sterling</t>
  </si>
  <si>
    <t>R. Sterling</t>
  </si>
  <si>
    <t>LW,RW</t>
  </si>
  <si>
    <t>https://cdn.sofifa.net/players/202/652/23_60.png</t>
  </si>
  <si>
    <t>Romelu Lukaku</t>
  </si>
  <si>
    <t>R. Lukaku</t>
  </si>
  <si>
    <t>https://cdn.sofifa.net/players/192/505/23_60.png</t>
  </si>
  <si>
    <t>Diogo Jota</t>
  </si>
  <si>
    <t>Diogo José Teixeira da Silva</t>
  </si>
  <si>
    <t>CF,LW</t>
  </si>
  <si>
    <t>https://cdn.sofifa.net/players/224/458/23_60.png</t>
  </si>
  <si>
    <t>Antoine Griezmann</t>
  </si>
  <si>
    <t>A. Griezmann</t>
  </si>
  <si>
    <t>ST,CF,RW</t>
  </si>
  <si>
    <t>https://cdn.sofifa.net/players/194/765/23_60.png</t>
  </si>
  <si>
    <t>Memphis Depay</t>
  </si>
  <si>
    <t>M. Depay</t>
  </si>
  <si>
    <t>CF,ST,LW</t>
  </si>
  <si>
    <t>https://cdn.sofifa.net/players/202/556/23_60.png</t>
  </si>
  <si>
    <t>Coman</t>
  </si>
  <si>
    <t>T. Coman</t>
  </si>
  <si>
    <t>Tiberiu Coman</t>
  </si>
  <si>
    <t>Romania</t>
  </si>
  <si>
    <t>https://cdn.sofifa.net/players/263/187/23_60.png</t>
  </si>
  <si>
    <t>CS Mioveni</t>
  </si>
  <si>
    <t>https://cdn.sofifa.net/flags/ro.png</t>
  </si>
  <si>
    <t>Rafael Leao</t>
  </si>
  <si>
    <t>Rafael Leão</t>
  </si>
  <si>
    <t>Rafael da Conceição Leão</t>
  </si>
  <si>
    <t>https://cdn.sofifa.net/players/241/721/23_60.png</t>
  </si>
  <si>
    <t>Chisea</t>
  </si>
  <si>
    <t>Chema</t>
  </si>
  <si>
    <t>José Manuel Rodríguez Benito</t>
  </si>
  <si>
    <t>https://cdn.sofifa.net/players/219/777/23_60.png</t>
  </si>
  <si>
    <t>SD Eibar</t>
  </si>
  <si>
    <t>Marcus Rashford</t>
  </si>
  <si>
    <t>dybala</t>
  </si>
  <si>
    <t>M. Rashford</t>
  </si>
  <si>
    <t>LW,ST</t>
  </si>
  <si>
    <t>https://cdn.sofifa.net/players/231/677/23_60.png</t>
  </si>
  <si>
    <t>Dusan Vlahovic</t>
  </si>
  <si>
    <t>D. Vlahović</t>
  </si>
  <si>
    <t>Dušan Vlahović</t>
  </si>
  <si>
    <t>https://cdn.sofifa.net/players/246/430/23_60.png</t>
  </si>
  <si>
    <t>Jack Grealish</t>
  </si>
  <si>
    <t>J. Grealish</t>
  </si>
  <si>
    <t>LW,LM,CAM</t>
  </si>
  <si>
    <t>https://cdn.sofifa.net/players/206/517/23_60.png</t>
  </si>
  <si>
    <t>Leroy Sane</t>
  </si>
  <si>
    <t>L. Sané</t>
  </si>
  <si>
    <t>Leroy Sané</t>
  </si>
  <si>
    <t>https://cdn.sofifa.net/players/222/492/23_60.png</t>
  </si>
  <si>
    <t>Luis Díaz</t>
  </si>
  <si>
    <t>L. Díaz</t>
  </si>
  <si>
    <t>Colombia</t>
  </si>
  <si>
    <t>https://cdn.sofifa.net/players/241/084/23_60.png</t>
  </si>
  <si>
    <t>https://cdn.sofifa.net/flags/co.png</t>
  </si>
  <si>
    <t>Ousmane Dembele</t>
  </si>
  <si>
    <t>O. Dembélé</t>
  </si>
  <si>
    <t>Ousmane Dembélé</t>
  </si>
  <si>
    <t>RW,LW</t>
  </si>
  <si>
    <t>https://cdn.sofifa.net/players/231/443/23_60.png</t>
  </si>
  <si>
    <t>Bukayo Saka</t>
  </si>
  <si>
    <t>B. Saka</t>
  </si>
  <si>
    <t>RM,LM</t>
  </si>
  <si>
    <t>https://cdn.sofifa.net/players/246/669/23_60.png</t>
  </si>
  <si>
    <t>Jadon Sancho</t>
  </si>
  <si>
    <t>J. Sancho</t>
  </si>
  <si>
    <t>LW,RW,LM</t>
  </si>
  <si>
    <t>https://cdn.sofifa.net/players/233/049/23_60.png</t>
  </si>
  <si>
    <t>Cody Gakpo</t>
  </si>
  <si>
    <t>C. Gakpo</t>
  </si>
  <si>
    <t>https://cdn.sofifa.net/players/242/516/23_60.png</t>
  </si>
  <si>
    <t>PSV</t>
  </si>
  <si>
    <t>Angel Di Maria</t>
  </si>
  <si>
    <t>Benfica</t>
  </si>
  <si>
    <t>Á. Di María</t>
  </si>
  <si>
    <t>Ángel Di María</t>
  </si>
  <si>
    <t>https://cdn.sofifa.net/players/183/898/23_60.png</t>
  </si>
  <si>
    <t>Joao Felix</t>
  </si>
  <si>
    <t>João Félix</t>
  </si>
  <si>
    <t>João Félix Sequeira</t>
  </si>
  <si>
    <t>https://cdn.sofifa.net/players/242/444/23_60.png</t>
  </si>
  <si>
    <t>Raphinha</t>
  </si>
  <si>
    <t>Raphael Dias Belloli</t>
  </si>
  <si>
    <t>RW,RM</t>
  </si>
  <si>
    <t>https://cdn.sofifa.net/players/233/419/23_60.png</t>
  </si>
  <si>
    <t>Asensio</t>
  </si>
  <si>
    <t>Arsénio</t>
  </si>
  <si>
    <t>Arsénio Martins Lafuente Nunes</t>
  </si>
  <si>
    <t>LW,RM,LM</t>
  </si>
  <si>
    <t>https://cdn.sofifa.net/players/213/746/23_60.png</t>
  </si>
  <si>
    <t>FC Arouca</t>
  </si>
  <si>
    <t>Antony</t>
  </si>
  <si>
    <t>Antony Matheus dos Santos</t>
  </si>
  <si>
    <t>https://cdn.sofifa.net/players/255/475/23_60.png</t>
  </si>
  <si>
    <t>Darwin Nunez</t>
  </si>
  <si>
    <t>D. Núñez</t>
  </si>
  <si>
    <t>Darwin Núñez</t>
  </si>
  <si>
    <t>https://cdn.sofifa.net/players/253/072/23_60.png</t>
  </si>
  <si>
    <t>Morata</t>
  </si>
  <si>
    <t>Álvaro Borja Morata Martín</t>
  </si>
  <si>
    <t>https://cdn.sofifa.net/players/201/153/23_60.png</t>
  </si>
  <si>
    <t>Ferran Torres</t>
  </si>
  <si>
    <t>Ferran Torres García</t>
  </si>
  <si>
    <t>https://cdn.sofifa.net/players/241/461/23_60.png</t>
  </si>
  <si>
    <t>Rodrygo</t>
  </si>
  <si>
    <t>Rodrygo Silva de Goes</t>
  </si>
  <si>
    <t>https://cdn.sofifa.net/players/243/812/23_60.png</t>
  </si>
  <si>
    <t>Kulusevski</t>
  </si>
  <si>
    <t>D. Kulusevski</t>
  </si>
  <si>
    <t>Dejan Kulusevski</t>
  </si>
  <si>
    <t>RW,CF</t>
  </si>
  <si>
    <t>Sweden</t>
  </si>
  <si>
    <t>https://cdn.sofifa.net/players/247/394/23_60.png</t>
  </si>
  <si>
    <t>https://cdn.sofifa.net/flags/se.png</t>
  </si>
  <si>
    <t>Joselu</t>
  </si>
  <si>
    <t>José Luis Sanmartín Mato</t>
  </si>
  <si>
    <t>https://cdn.sofifa.net/players/173/608/23_60.png</t>
  </si>
  <si>
    <t>RCD Espanyol de Barcelona</t>
  </si>
  <si>
    <t>Julian Alvarez</t>
  </si>
  <si>
    <t>J. Álvarez</t>
  </si>
  <si>
    <t>Julián Álvarez</t>
  </si>
  <si>
    <t>ST,RW,LW</t>
  </si>
  <si>
    <t>https://cdn.sofifa.net/players/246/191/23_60.png</t>
  </si>
  <si>
    <t>Khvicha Kvaratskhelia</t>
  </si>
  <si>
    <t>K. Kvaratskhelia</t>
  </si>
  <si>
    <t>LW,CAM</t>
  </si>
  <si>
    <t>Georgia</t>
  </si>
  <si>
    <t>https://cdn.sofifa.net/players/247/635/23_60.png</t>
  </si>
  <si>
    <t>Christopher Nkunku</t>
  </si>
  <si>
    <t>C. Nkunku</t>
  </si>
  <si>
    <t>CF,CAM,ST</t>
  </si>
  <si>
    <t>https://cdn.sofifa.net/players/232/411/23_60.png</t>
  </si>
  <si>
    <t>Riyad Mahrez</t>
  </si>
  <si>
    <t>R. Mahrez</t>
  </si>
  <si>
    <t>Algeria</t>
  </si>
  <si>
    <t>https://cdn.sofifa.net/players/204/485/23_60.png</t>
  </si>
  <si>
    <t>Gerard Moreno</t>
  </si>
  <si>
    <t>Gerard Moreno Balagueró</t>
  </si>
  <si>
    <t>https://cdn.sofifa.net/players/208/093/23_60.png</t>
  </si>
  <si>
    <t>Gabriel Fernando Jesus</t>
  </si>
  <si>
    <t>Gabriel Jesus</t>
  </si>
  <si>
    <t>Gabriel Fernando de Jesus</t>
  </si>
  <si>
    <t>ST,RW</t>
  </si>
  <si>
    <t>https://cdn.sofifa.net/players/230/666/23_60.png</t>
  </si>
  <si>
    <t>Virgil van Dijk</t>
  </si>
  <si>
    <t>Defender</t>
  </si>
  <si>
    <t>V. van Dijk</t>
  </si>
  <si>
    <t>https://cdn.sofifa.net/players/203/376/23_60.png</t>
  </si>
  <si>
    <t>Joshua Kimmich</t>
  </si>
  <si>
    <t>J. Kimmich</t>
  </si>
  <si>
    <t>CDM,RB</t>
  </si>
  <si>
    <t>https://cdn.sofifa.net/players/212/622/23_60.png</t>
  </si>
  <si>
    <t>Marquinhos</t>
  </si>
  <si>
    <t>Marcos Aoás Corrêa</t>
  </si>
  <si>
    <t>https://cdn.sofifa.net/players/207/865/23_60.png</t>
  </si>
  <si>
    <t>Ruben Dias</t>
  </si>
  <si>
    <t>Rúben Dias</t>
  </si>
  <si>
    <t>Rúben Santos Gato Alves Dias</t>
  </si>
  <si>
    <t>https://cdn.sofifa.net/players/239/818/23_60.png</t>
  </si>
  <si>
    <t>Cancelo</t>
  </si>
  <si>
    <t>RB</t>
  </si>
  <si>
    <t>João Cancelo</t>
  </si>
  <si>
    <t>João Pedro Cavaco Cancelo</t>
  </si>
  <si>
    <t>LB,RB</t>
  </si>
  <si>
    <t>LB</t>
  </si>
  <si>
    <t>https://cdn.sofifa.net/players/210/514/23_60.png</t>
  </si>
  <si>
    <t>Antonio Rudiger</t>
  </si>
  <si>
    <t>A. Rüdiger</t>
  </si>
  <si>
    <t>Antonio Rüdiger</t>
  </si>
  <si>
    <t>https://cdn.sofifa.net/players/205/452/23_60.png</t>
  </si>
  <si>
    <t>Andy Robertson</t>
  </si>
  <si>
    <t>A. Robertson</t>
  </si>
  <si>
    <t>Andrew Robertson</t>
  </si>
  <si>
    <t>Scotland</t>
  </si>
  <si>
    <t>https://cdn.sofifa.net/players/216/267/23_60.png</t>
  </si>
  <si>
    <t>https://cdn.sofifa.net/flags/gb-sct.png</t>
  </si>
  <si>
    <t>LWB</t>
  </si>
  <si>
    <t>Trent Alexander-Arnold</t>
  </si>
  <si>
    <t>T. Alexander-Arnold</t>
  </si>
  <si>
    <t>https://cdn.sofifa.net/players/231/281/23_60.png</t>
  </si>
  <si>
    <t>Thiago Silva</t>
  </si>
  <si>
    <t>Thiago Emiliano da Silva</t>
  </si>
  <si>
    <t>https://cdn.sofifa.net/players/164/240/23_60.png</t>
  </si>
  <si>
    <t>Milan Škriniar</t>
  </si>
  <si>
    <t>M. Škriniar</t>
  </si>
  <si>
    <t>Slovakia</t>
  </si>
  <si>
    <t>https://cdn.sofifa.net/players/232/363/23_60.png</t>
  </si>
  <si>
    <t>David Alaba</t>
  </si>
  <si>
    <t>D. Alaba</t>
  </si>
  <si>
    <t>https://cdn.sofifa.net/players/197/445/23_60.png</t>
  </si>
  <si>
    <t>Laporte</t>
  </si>
  <si>
    <t>J. Laporte</t>
  </si>
  <si>
    <t>Julien Laporte</t>
  </si>
  <si>
    <t>https://cdn.sofifa.net/players/228/290/23_60.png</t>
  </si>
  <si>
    <t>FC Lorient</t>
  </si>
  <si>
    <t>Niklas Süle</t>
  </si>
  <si>
    <t>N. Süle</t>
  </si>
  <si>
    <t>CB,RB</t>
  </si>
  <si>
    <t>https://cdn.sofifa.net/players/212/190/23_60.png</t>
  </si>
  <si>
    <t>Marcos Acuna</t>
  </si>
  <si>
    <t>M. Acuña</t>
  </si>
  <si>
    <t>Marcos Acuña</t>
  </si>
  <si>
    <t>https://cdn.sofifa.net/players/224/334/23_60.png</t>
  </si>
  <si>
    <t>Theo Hernandez</t>
  </si>
  <si>
    <t>T. Hernández</t>
  </si>
  <si>
    <t>Theo Hernández</t>
  </si>
  <si>
    <t>https://cdn.sofifa.net/players/232/656/23_60.png</t>
  </si>
  <si>
    <t>De Ligt</t>
  </si>
  <si>
    <t>M. de Ligt</t>
  </si>
  <si>
    <t>Matthijs de Ligt</t>
  </si>
  <si>
    <t>https://cdn.sofifa.net/players/235/243/23_60.png</t>
  </si>
  <si>
    <t>Kyle Walker</t>
  </si>
  <si>
    <t>K. Walker</t>
  </si>
  <si>
    <t>https://cdn.sofifa.net/players/188/377/23_60.png</t>
  </si>
  <si>
    <t>Raphaël Varane</t>
  </si>
  <si>
    <t>R. Varane</t>
  </si>
  <si>
    <t>https://cdn.sofifa.net/players/201/535/23_60.png</t>
  </si>
  <si>
    <t>Kieran Trippier</t>
  </si>
  <si>
    <t>K. Trippier</t>
  </si>
  <si>
    <t>RB,RM</t>
  </si>
  <si>
    <t>https://cdn.sofifa.net/players/186/345/23_60.png</t>
  </si>
  <si>
    <t>Carvajal</t>
  </si>
  <si>
    <t>Daniel Carvajal Ramos</t>
  </si>
  <si>
    <t>https://cdn.sofifa.net/players/204/963/23_60.png</t>
  </si>
  <si>
    <t>Lucas Hernández</t>
  </si>
  <si>
    <t>L. Hernández</t>
  </si>
  <si>
    <t>CB,LB</t>
  </si>
  <si>
    <t>https://cdn.sofifa.net/players/220/814/23_60.png</t>
  </si>
  <si>
    <t>Mats Hummels</t>
  </si>
  <si>
    <t>M. Hummels</t>
  </si>
  <si>
    <t>CB,RB,RW</t>
  </si>
  <si>
    <t>https://cdn.sofifa.net/players/178/603/23_60.png</t>
  </si>
  <si>
    <t>Eder Militao</t>
  </si>
  <si>
    <t>Éder Militão</t>
  </si>
  <si>
    <t>Éder Gabriel Militão</t>
  </si>
  <si>
    <t>https://cdn.sofifa.net/players/240/130/23_60.png</t>
  </si>
  <si>
    <t>Joules Kounde</t>
  </si>
  <si>
    <t>J. Koundé</t>
  </si>
  <si>
    <t>Jules Koundé</t>
  </si>
  <si>
    <t>https://cdn.sofifa.net/players/241/486/23_60.png</t>
  </si>
  <si>
    <t>Alphonso Davies</t>
  </si>
  <si>
    <t>A. Davies</t>
  </si>
  <si>
    <t>LB,LM</t>
  </si>
  <si>
    <t>Canada</t>
  </si>
  <si>
    <t>https://cdn.sofifa.net/players/234/396/23_60.png</t>
  </si>
  <si>
    <t>https://cdn.sofifa.net/flags/ca.png</t>
  </si>
  <si>
    <t>Hakimi</t>
  </si>
  <si>
    <t>A. Hakimi</t>
  </si>
  <si>
    <t>Achraf Hakimi</t>
  </si>
  <si>
    <t>RB,RWB</t>
  </si>
  <si>
    <t>https://cdn.sofifa.net/players/235/212/23_60.png</t>
  </si>
  <si>
    <t>RWB</t>
  </si>
  <si>
    <t>Alessandro Bastoni</t>
  </si>
  <si>
    <t>A. Bastoni</t>
  </si>
  <si>
    <t>https://cdn.sofifa.net/players/237/383/23_60.png</t>
  </si>
  <si>
    <t>Reece James</t>
  </si>
  <si>
    <t>R. James</t>
  </si>
  <si>
    <t>RWB,RB</t>
  </si>
  <si>
    <t>https://cdn.sofifa.net/players/238/074/23_60.png</t>
  </si>
  <si>
    <t>Gabriel</t>
  </si>
  <si>
    <t>Gabriel dos S. Magalhães</t>
  </si>
  <si>
    <t>https://cdn.sofifa.net/players/232/580/23_60.png</t>
  </si>
  <si>
    <t>Upamecano</t>
  </si>
  <si>
    <t>D. Upamecano</t>
  </si>
  <si>
    <t>Dayot Upamecano</t>
  </si>
  <si>
    <t>https://cdn.sofifa.net/players/229/558/23_60.png</t>
  </si>
  <si>
    <t>Ronald Araujo</t>
  </si>
  <si>
    <t>R. Araujo</t>
  </si>
  <si>
    <t>https://cdn.sofifa.net/players/253/163/23_60.png</t>
  </si>
  <si>
    <t>Ferland Mendy</t>
  </si>
  <si>
    <t>F. Mendy</t>
  </si>
  <si>
    <t>https://cdn.sofifa.net/players/228/618/23_60.png</t>
  </si>
  <si>
    <t>Ricardo Pereira</t>
  </si>
  <si>
    <t>Ricardo Barbosa Pereira</t>
  </si>
  <si>
    <t>https://cdn.sofifa.net/players/210/243/23_60.png</t>
  </si>
  <si>
    <t>John Stones</t>
  </si>
  <si>
    <t>J. Stones</t>
  </si>
  <si>
    <t>https://cdn.sofifa.net/players/203/574/23_60.png</t>
  </si>
  <si>
    <t>Cristian Romero</t>
  </si>
  <si>
    <t>C. Romero</t>
  </si>
  <si>
    <t>https://cdn.sofifa.net/players/232/488/23_60.png</t>
  </si>
  <si>
    <t>Gimenez</t>
  </si>
  <si>
    <t>S. Giménez</t>
  </si>
  <si>
    <t>Santiago Giménez</t>
  </si>
  <si>
    <t>Mexico</t>
  </si>
  <si>
    <t>https://cdn.sofifa.net/players/245/152/23_60.png</t>
  </si>
  <si>
    <t>Feyenoord</t>
  </si>
  <si>
    <t>https://cdn.sofifa.net/flags/mx.png</t>
  </si>
  <si>
    <t>Grimaldo</t>
  </si>
  <si>
    <t>Alejandro Grimaldo García</t>
  </si>
  <si>
    <t>LB,LWB,LM</t>
  </si>
  <si>
    <t>https://cdn.sofifa.net/players/210/035/23_60.png</t>
  </si>
  <si>
    <t>Noussair Mazraoui</t>
  </si>
  <si>
    <t>N. Mazraoui</t>
  </si>
  <si>
    <t>https://cdn.sofifa.net/players/236/401/23_60.png</t>
  </si>
  <si>
    <t>Ben Chilwell</t>
  </si>
  <si>
    <t>B. Chilwell</t>
  </si>
  <si>
    <t>LWB,LB</t>
  </si>
  <si>
    <t>https://cdn.sofifa.net/players/229/984/23_60.png</t>
  </si>
  <si>
    <t>Denzel Dumfries</t>
  </si>
  <si>
    <t>D. Dumfries</t>
  </si>
  <si>
    <t>RWB,RM</t>
  </si>
  <si>
    <t>https://cdn.sofifa.net/players/233/096/23_60.png</t>
  </si>
  <si>
    <t>Josko Gvardiol</t>
  </si>
  <si>
    <t>J. Gvardiol</t>
  </si>
  <si>
    <t>Joško Gvardiol</t>
  </si>
  <si>
    <t>https://cdn.sofifa.net/players/251/517/23_60.png</t>
  </si>
  <si>
    <t>Manuel Akanji</t>
  </si>
  <si>
    <t>M. Akanji</t>
  </si>
  <si>
    <t>https://cdn.sofifa.net/players/229/237/23_60.png</t>
  </si>
  <si>
    <t>William Saliba</t>
  </si>
  <si>
    <t>W. Saliba</t>
  </si>
  <si>
    <t>https://cdn.sofifa.net/players/243/715/23_60.png</t>
  </si>
  <si>
    <t>Christensen</t>
  </si>
  <si>
    <t>T. Christensen</t>
  </si>
  <si>
    <t>Tobias Christensen</t>
  </si>
  <si>
    <t>https://cdn.sofifa.net/players/242/640/23_60.png</t>
  </si>
  <si>
    <t>Vålerenga Fotball</t>
  </si>
  <si>
    <t>Nacho</t>
  </si>
  <si>
    <t>José Ignacio Martínez García</t>
  </si>
  <si>
    <t>https://cdn.sofifa.net/players/212/183/23_60.png</t>
  </si>
  <si>
    <t>CD Tenerife</t>
  </si>
  <si>
    <t>Jesús Navas</t>
  </si>
  <si>
    <t>Jesús Navas González</t>
  </si>
  <si>
    <t>https://cdn.sofifa.net/players/146/536/23_60.png</t>
  </si>
  <si>
    <t>Cucurella</t>
  </si>
  <si>
    <t>Marc Cucurella Saseta</t>
  </si>
  <si>
    <t>LB,CB,LM</t>
  </si>
  <si>
    <t>https://cdn.sofifa.net/players/239/231/23_60.png</t>
  </si>
  <si>
    <t>Porro</t>
  </si>
  <si>
    <t>Pedro Porro</t>
  </si>
  <si>
    <t>Pedro Antonio Porro Sauceda</t>
  </si>
  <si>
    <t>https://cdn.sofifa.net/players/243/576/23_60.png</t>
  </si>
  <si>
    <t>Pavard</t>
  </si>
  <si>
    <t>B. Pavard</t>
  </si>
  <si>
    <t>Benjamin Pavard</t>
  </si>
  <si>
    <t>RB,CB</t>
  </si>
  <si>
    <t>https://cdn.sofifa.net/players/226/851/23_60.png</t>
  </si>
  <si>
    <t>Frimpong</t>
  </si>
  <si>
    <t>J. Frimpong</t>
  </si>
  <si>
    <t>Jeremie Frimpong</t>
  </si>
  <si>
    <t>https://cdn.sofifa.net/players/253/149/23_60.png</t>
  </si>
  <si>
    <t>Tah</t>
  </si>
  <si>
    <t>J. Tah</t>
  </si>
  <si>
    <t>Jonathan Tah</t>
  </si>
  <si>
    <t>https://cdn.sofifa.net/players/213/331/23_60.png</t>
  </si>
  <si>
    <t>Harry Maguire</t>
  </si>
  <si>
    <t>H. Maguire</t>
  </si>
  <si>
    <t>https://cdn.sofifa.net/players/203/263/23_60.png</t>
  </si>
  <si>
    <t>Reguilón</t>
  </si>
  <si>
    <t>Sergio Reguilón Rodríguez</t>
  </si>
  <si>
    <t>https://cdn.sofifa.net/players/245/279/23_60.png</t>
  </si>
  <si>
    <t>Ben white</t>
  </si>
  <si>
    <t>B. Whiteman</t>
  </si>
  <si>
    <t>Ben Whiteman</t>
  </si>
  <si>
    <t>https://cdn.sofifa.net/players/225/071/23_60.png</t>
  </si>
  <si>
    <t>Preston North End</t>
  </si>
  <si>
    <t>Nathan Ake</t>
  </si>
  <si>
    <t>N. Aké</t>
  </si>
  <si>
    <t>Nathan Aké</t>
  </si>
  <si>
    <t>https://cdn.sofifa.net/players/208/920/23_60.png</t>
  </si>
  <si>
    <t>Dalot</t>
  </si>
  <si>
    <t>Danilo</t>
  </si>
  <si>
    <t>Danilo Luiz da Silva</t>
  </si>
  <si>
    <t>https://cdn.sofifa.net/players/199/304/23_60.png</t>
  </si>
  <si>
    <t>Kim Min Jae</t>
  </si>
  <si>
    <t>Min Jae Kim</t>
  </si>
  <si>
    <t>https://cdn.sofifa.net/players/237/086/23_60.png</t>
  </si>
  <si>
    <t>Raphael Guerreiro</t>
  </si>
  <si>
    <t>BVB</t>
  </si>
  <si>
    <t>R. Guerreiro</t>
  </si>
  <si>
    <t>Raphaël Guerreiro</t>
  </si>
  <si>
    <t>https://cdn.sofifa.net/players/209/889/23_60.png</t>
  </si>
  <si>
    <t>Lisandro Martinez</t>
  </si>
  <si>
    <t>manchester united</t>
  </si>
  <si>
    <t>Lisandro Martínez</t>
  </si>
  <si>
    <t>CB,LB,CDM</t>
  </si>
  <si>
    <t>https://cdn.sofifa.net/players/239/301/23_60.png</t>
  </si>
  <si>
    <t>Leonardo Bonucci</t>
  </si>
  <si>
    <t>L. Bonucci</t>
  </si>
  <si>
    <t>https://cdn.sofifa.net/players/184/344/23_60.png</t>
  </si>
  <si>
    <t>Nicolas Otamendi</t>
  </si>
  <si>
    <t>SL Benfia</t>
  </si>
  <si>
    <t>N. Otamendi</t>
  </si>
  <si>
    <t>Nicolás Otamendi</t>
  </si>
  <si>
    <t>https://cdn.sofifa.net/players/192/366/23_60.png</t>
  </si>
  <si>
    <t>luke shaw</t>
  </si>
  <si>
    <t>Manchester united</t>
  </si>
  <si>
    <t>L. Shaw</t>
  </si>
  <si>
    <t>Luke Shaw</t>
  </si>
  <si>
    <t>https://cdn.sofifa.net/players/205/988/23_60.png</t>
  </si>
  <si>
    <t>Bremer</t>
  </si>
  <si>
    <t>Gleison Bremer Silva Nascimento</t>
  </si>
  <si>
    <t>https://cdn.sofifa.net/players/239/580/23_60.png</t>
  </si>
  <si>
    <t>Player Sold</t>
  </si>
  <si>
    <t>Category</t>
  </si>
  <si>
    <t>Winning Team No</t>
  </si>
  <si>
    <t>Sale Price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</si>
  <si>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</si>
  <si>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</si>
  <si>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</si>
  <si>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</si>
  <si>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</si>
  <si>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</si>
  <si>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</si>
  <si>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</si>
  <si>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</si>
  <si>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</si>
  <si>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Team No</t>
  </si>
  <si>
    <t>Team Name</t>
  </si>
  <si>
    <t>Starting Purse</t>
  </si>
  <si>
    <t>Total Spent</t>
  </si>
  <si>
    <t>Remaining Purse</t>
  </si>
  <si>
    <t>Roster Size</t>
  </si>
  <si>
    <t>Squad Status</t>
  </si>
  <si>
    <t>Player ID</t>
  </si>
  <si>
    <t>Search:</t>
  </si>
  <si>
    <t xml:space="preserve">Team: </t>
  </si>
  <si>
    <t>mess</t>
  </si>
  <si>
    <t>Position Role</t>
  </si>
  <si>
    <t>Drafted</t>
  </si>
  <si>
    <t>Min Requirement</t>
  </si>
  <si>
    <t>Min Needed</t>
  </si>
  <si>
    <t>Max Cap</t>
  </si>
  <si>
    <t>Max Extra</t>
  </si>
  <si>
    <t>Forwards (FW)</t>
  </si>
  <si>
    <t>Midfielders (MF)</t>
  </si>
  <si>
    <t>Defenders (DF)</t>
  </si>
  <si>
    <t>Goalkeepers (GK)</t>
  </si>
  <si>
    <t>TOTAL SQUAD</t>
  </si>
  <si>
    <t>Remaining</t>
  </si>
  <si>
    <t>Total Roster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</si>
</sst>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thin">
        <color rgb="FF00B0F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2" borderId="0" xfId="0" applyFont="1" applyFill="1"/>
    <xf numFmtId="0" fontId="0" fillId="4" borderId="0" xfId="0" applyFill="1"/>
    <xf numFmtId="0" fontId="3" fillId="5" borderId="2" xfId="0" applyFont="1" applyFill="1" applyBorder="1"/>
    <xf numFmtId="0" fontId="4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6" fillId="0" borderId="0" xfId="0" applyFont="1"/>
    <xf numFmtId="0" fontId="7" fillId="8" borderId="0" xfId="0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3D3D3"/>
      <color rgb="FF3333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D40F-E36D-4FD7-8504-9BE74D8A5BA1}">
  <dimension ref="A1:CR195"/>
  <sheetViews>
    <sheetView workbookViewId="0">
      <selection activeCell="C16" sqref="C16"/>
    </sheetView>
  </sheetViews>
  <sheetFormatPr defaultRowHeight="15"/>
  <sheetData>
    <row r="1" spans="1: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</row>
    <row r="2" spans="1:96">
      <c r="A2">
        <v>1</v>
      </c>
      <c r="B2" t="s">
        <v>95</v>
      </c>
      <c r="C2" t="s">
        <v>96</v>
      </c>
      <c r="D2" t="s">
        <v>97</v>
      </c>
      <c r="E2" t="s">
        <v>98</v>
      </c>
      <c r="F2">
        <v>91</v>
      </c>
      <c r="G2">
        <v>40</v>
      </c>
      <c r="H2" t="s">
        <v>99</v>
      </c>
      <c r="I2" t="s">
        <v>95</v>
      </c>
      <c r="J2">
        <v>91</v>
      </c>
      <c r="K2">
        <v>91</v>
      </c>
      <c r="L2">
        <v>107500000</v>
      </c>
      <c r="M2" t="s">
        <v>100</v>
      </c>
      <c r="N2" t="s">
        <v>97</v>
      </c>
      <c r="O2" t="s">
        <v>101</v>
      </c>
      <c r="P2" t="s">
        <v>102</v>
      </c>
      <c r="Q2">
        <v>31</v>
      </c>
      <c r="R2">
        <v>181</v>
      </c>
      <c r="S2">
        <v>70</v>
      </c>
      <c r="T2">
        <v>2303</v>
      </c>
      <c r="U2">
        <v>483</v>
      </c>
      <c r="V2" t="s">
        <v>98</v>
      </c>
      <c r="W2">
        <v>350000</v>
      </c>
      <c r="X2">
        <v>198900000</v>
      </c>
      <c r="Y2" t="s">
        <v>97</v>
      </c>
      <c r="Z2">
        <v>2025</v>
      </c>
      <c r="AA2">
        <v>17</v>
      </c>
      <c r="AB2">
        <v>2015</v>
      </c>
      <c r="AC2" t="s">
        <v>103</v>
      </c>
      <c r="AD2" t="s">
        <v>104</v>
      </c>
      <c r="AE2">
        <v>5</v>
      </c>
      <c r="AF2">
        <v>4</v>
      </c>
      <c r="AG2">
        <v>4</v>
      </c>
      <c r="AH2" t="s">
        <v>101</v>
      </c>
      <c r="AI2" t="s">
        <v>105</v>
      </c>
      <c r="AJ2" t="s">
        <v>106</v>
      </c>
      <c r="AK2">
        <v>7</v>
      </c>
      <c r="AL2" t="s">
        <v>107</v>
      </c>
      <c r="AM2" t="s">
        <v>107</v>
      </c>
      <c r="AN2">
        <v>74</v>
      </c>
      <c r="AO2">
        <v>88</v>
      </c>
      <c r="AP2">
        <v>93</v>
      </c>
      <c r="AQ2">
        <v>87</v>
      </c>
      <c r="AR2">
        <v>64</v>
      </c>
      <c r="AS2">
        <v>77</v>
      </c>
      <c r="AT2">
        <v>94</v>
      </c>
      <c r="AU2">
        <v>85</v>
      </c>
      <c r="AV2">
        <v>55</v>
      </c>
      <c r="AW2">
        <v>93</v>
      </c>
      <c r="AX2">
        <v>83</v>
      </c>
      <c r="AY2">
        <v>88</v>
      </c>
      <c r="AZ2">
        <v>89</v>
      </c>
      <c r="BA2">
        <v>83</v>
      </c>
      <c r="BB2">
        <v>93</v>
      </c>
      <c r="BC2">
        <v>90</v>
      </c>
      <c r="BD2">
        <v>76</v>
      </c>
      <c r="BE2">
        <v>73</v>
      </c>
      <c r="BF2">
        <v>76</v>
      </c>
      <c r="BG2">
        <v>91</v>
      </c>
      <c r="BH2">
        <v>78</v>
      </c>
      <c r="BI2">
        <v>92</v>
      </c>
      <c r="BJ2">
        <v>63</v>
      </c>
      <c r="BK2">
        <v>88</v>
      </c>
      <c r="BL2">
        <v>74</v>
      </c>
      <c r="BM2">
        <v>91</v>
      </c>
      <c r="BN2">
        <v>75</v>
      </c>
      <c r="BO2">
        <v>66</v>
      </c>
      <c r="BP2">
        <v>88</v>
      </c>
      <c r="BQ2">
        <v>94</v>
      </c>
      <c r="BR2">
        <v>83</v>
      </c>
      <c r="BS2">
        <v>89</v>
      </c>
      <c r="BT2">
        <v>68</v>
      </c>
      <c r="BU2">
        <v>65</v>
      </c>
      <c r="BV2">
        <v>53</v>
      </c>
      <c r="BW2">
        <v>15</v>
      </c>
      <c r="BX2">
        <v>13</v>
      </c>
      <c r="BY2">
        <v>5</v>
      </c>
      <c r="BZ2">
        <v>10</v>
      </c>
      <c r="CA2">
        <v>13</v>
      </c>
      <c r="CB2">
        <v>86</v>
      </c>
      <c r="CC2">
        <v>88</v>
      </c>
      <c r="CD2">
        <v>87</v>
      </c>
      <c r="CE2">
        <v>87</v>
      </c>
      <c r="CF2">
        <v>87</v>
      </c>
      <c r="CG2">
        <v>88</v>
      </c>
      <c r="CH2">
        <v>91</v>
      </c>
      <c r="CI2">
        <v>91</v>
      </c>
      <c r="CJ2">
        <v>91</v>
      </c>
      <c r="CK2">
        <v>91</v>
      </c>
      <c r="CL2">
        <v>82</v>
      </c>
      <c r="CM2">
        <v>82</v>
      </c>
      <c r="CN2">
        <v>82</v>
      </c>
      <c r="CO2">
        <v>78</v>
      </c>
      <c r="CP2">
        <v>72</v>
      </c>
      <c r="CQ2">
        <v>78</v>
      </c>
      <c r="CR2">
        <v>24</v>
      </c>
    </row>
    <row r="3" spans="1:96">
      <c r="A3">
        <v>2</v>
      </c>
      <c r="B3" t="s">
        <v>108</v>
      </c>
      <c r="C3" t="s">
        <v>96</v>
      </c>
      <c r="D3" t="s">
        <v>109</v>
      </c>
      <c r="E3" t="s">
        <v>110</v>
      </c>
      <c r="F3">
        <v>89</v>
      </c>
      <c r="G3">
        <v>40</v>
      </c>
      <c r="H3" t="s">
        <v>108</v>
      </c>
      <c r="I3" t="s">
        <v>111</v>
      </c>
      <c r="J3">
        <v>89</v>
      </c>
      <c r="K3">
        <v>89</v>
      </c>
      <c r="L3">
        <v>86000000</v>
      </c>
      <c r="M3" t="s">
        <v>109</v>
      </c>
      <c r="N3" t="s">
        <v>109</v>
      </c>
      <c r="O3" t="s">
        <v>112</v>
      </c>
      <c r="P3" t="s">
        <v>113</v>
      </c>
      <c r="Q3">
        <v>30</v>
      </c>
      <c r="R3">
        <v>185</v>
      </c>
      <c r="S3">
        <v>84</v>
      </c>
      <c r="T3">
        <v>2209</v>
      </c>
      <c r="U3">
        <v>460</v>
      </c>
      <c r="V3" t="s">
        <v>110</v>
      </c>
      <c r="W3">
        <v>240000</v>
      </c>
      <c r="X3">
        <v>163400000</v>
      </c>
      <c r="Y3" t="s">
        <v>114</v>
      </c>
      <c r="Z3">
        <v>2026</v>
      </c>
      <c r="AA3">
        <v>18</v>
      </c>
      <c r="AB3">
        <v>2022</v>
      </c>
      <c r="AC3" t="s">
        <v>103</v>
      </c>
      <c r="AD3" t="s">
        <v>104</v>
      </c>
      <c r="AE3">
        <v>3</v>
      </c>
      <c r="AF3">
        <v>2</v>
      </c>
      <c r="AG3">
        <v>3</v>
      </c>
      <c r="AH3" t="s">
        <v>103</v>
      </c>
      <c r="AI3" t="s">
        <v>115</v>
      </c>
      <c r="AJ3" t="s">
        <v>103</v>
      </c>
      <c r="AK3" t="s">
        <v>103</v>
      </c>
      <c r="AL3" t="s">
        <v>116</v>
      </c>
      <c r="AM3" t="s">
        <v>107</v>
      </c>
      <c r="AN3">
        <v>63</v>
      </c>
      <c r="AO3">
        <v>73</v>
      </c>
      <c r="AP3">
        <v>75</v>
      </c>
      <c r="AQ3">
        <v>72</v>
      </c>
      <c r="AR3">
        <v>87</v>
      </c>
      <c r="AS3">
        <v>90</v>
      </c>
      <c r="AT3">
        <v>58</v>
      </c>
      <c r="AU3">
        <v>64</v>
      </c>
      <c r="AV3">
        <v>79</v>
      </c>
      <c r="AW3">
        <v>84</v>
      </c>
      <c r="AX3">
        <v>62</v>
      </c>
      <c r="AY3">
        <v>67</v>
      </c>
      <c r="AZ3">
        <v>62</v>
      </c>
      <c r="BA3">
        <v>74</v>
      </c>
      <c r="BB3">
        <v>83</v>
      </c>
      <c r="BC3">
        <v>78</v>
      </c>
      <c r="BD3">
        <v>60</v>
      </c>
      <c r="BE3">
        <v>66</v>
      </c>
      <c r="BF3">
        <v>61</v>
      </c>
      <c r="BG3">
        <v>87</v>
      </c>
      <c r="BH3">
        <v>66</v>
      </c>
      <c r="BI3">
        <v>88</v>
      </c>
      <c r="BJ3">
        <v>85</v>
      </c>
      <c r="BK3">
        <v>90</v>
      </c>
      <c r="BL3">
        <v>90</v>
      </c>
      <c r="BM3">
        <v>81</v>
      </c>
      <c r="BN3">
        <v>91</v>
      </c>
      <c r="BO3">
        <v>88</v>
      </c>
      <c r="BP3">
        <v>75</v>
      </c>
      <c r="BQ3">
        <v>75</v>
      </c>
      <c r="BR3">
        <v>66</v>
      </c>
      <c r="BS3">
        <v>84</v>
      </c>
      <c r="BT3">
        <v>87</v>
      </c>
      <c r="BU3">
        <v>88</v>
      </c>
      <c r="BV3">
        <v>87</v>
      </c>
      <c r="BW3">
        <v>13</v>
      </c>
      <c r="BX3">
        <v>14</v>
      </c>
      <c r="BY3">
        <v>16</v>
      </c>
      <c r="BZ3">
        <v>12</v>
      </c>
      <c r="CA3">
        <v>12</v>
      </c>
      <c r="CB3">
        <v>78</v>
      </c>
      <c r="CC3">
        <v>71</v>
      </c>
      <c r="CD3">
        <v>75</v>
      </c>
      <c r="CE3">
        <v>75</v>
      </c>
      <c r="CF3">
        <v>75</v>
      </c>
      <c r="CG3">
        <v>71</v>
      </c>
      <c r="CH3">
        <v>78</v>
      </c>
      <c r="CI3">
        <v>76</v>
      </c>
      <c r="CJ3">
        <v>84</v>
      </c>
      <c r="CK3">
        <v>76</v>
      </c>
      <c r="CL3">
        <v>83</v>
      </c>
      <c r="CM3">
        <v>89</v>
      </c>
      <c r="CN3">
        <v>83</v>
      </c>
      <c r="CO3">
        <v>84</v>
      </c>
      <c r="CP3">
        <v>89</v>
      </c>
      <c r="CQ3">
        <v>84</v>
      </c>
      <c r="CR3">
        <v>24</v>
      </c>
    </row>
    <row r="4" spans="1:96">
      <c r="A4">
        <v>3</v>
      </c>
      <c r="B4" t="s">
        <v>117</v>
      </c>
      <c r="C4" t="s">
        <v>96</v>
      </c>
      <c r="D4" t="s">
        <v>97</v>
      </c>
      <c r="E4" t="s">
        <v>118</v>
      </c>
      <c r="F4">
        <v>88</v>
      </c>
      <c r="G4">
        <v>40</v>
      </c>
      <c r="H4" t="s">
        <v>119</v>
      </c>
      <c r="I4" t="s">
        <v>120</v>
      </c>
      <c r="J4">
        <v>88</v>
      </c>
      <c r="K4">
        <v>88</v>
      </c>
      <c r="L4">
        <v>29000000</v>
      </c>
      <c r="M4" t="s">
        <v>97</v>
      </c>
      <c r="N4" t="s">
        <v>97</v>
      </c>
      <c r="O4" t="s">
        <v>121</v>
      </c>
      <c r="P4" t="s">
        <v>122</v>
      </c>
      <c r="Q4">
        <v>36</v>
      </c>
      <c r="R4">
        <v>172</v>
      </c>
      <c r="S4">
        <v>66</v>
      </c>
      <c r="T4">
        <v>2257</v>
      </c>
      <c r="U4">
        <v>464</v>
      </c>
      <c r="V4" t="s">
        <v>123</v>
      </c>
      <c r="W4">
        <v>230000</v>
      </c>
      <c r="X4">
        <v>59500000</v>
      </c>
      <c r="Y4" t="s">
        <v>97</v>
      </c>
      <c r="Z4">
        <v>2023</v>
      </c>
      <c r="AA4">
        <v>10</v>
      </c>
      <c r="AB4">
        <v>2012</v>
      </c>
      <c r="AC4" t="s">
        <v>103</v>
      </c>
      <c r="AD4" t="s">
        <v>104</v>
      </c>
      <c r="AE4">
        <v>4</v>
      </c>
      <c r="AF4">
        <v>4</v>
      </c>
      <c r="AG4">
        <v>4</v>
      </c>
      <c r="AH4" t="s">
        <v>121</v>
      </c>
      <c r="AI4" t="s">
        <v>124</v>
      </c>
      <c r="AJ4" t="s">
        <v>97</v>
      </c>
      <c r="AK4">
        <v>10</v>
      </c>
      <c r="AL4" t="s">
        <v>116</v>
      </c>
      <c r="AM4" t="s">
        <v>116</v>
      </c>
      <c r="AN4">
        <v>73</v>
      </c>
      <c r="AO4">
        <v>76</v>
      </c>
      <c r="AP4">
        <v>89</v>
      </c>
      <c r="AQ4">
        <v>88</v>
      </c>
      <c r="AR4">
        <v>72</v>
      </c>
      <c r="AS4">
        <v>66</v>
      </c>
      <c r="AT4">
        <v>86</v>
      </c>
      <c r="AU4">
        <v>72</v>
      </c>
      <c r="AV4">
        <v>55</v>
      </c>
      <c r="AW4">
        <v>91</v>
      </c>
      <c r="AX4">
        <v>76</v>
      </c>
      <c r="AY4">
        <v>85</v>
      </c>
      <c r="AZ4">
        <v>85</v>
      </c>
      <c r="BA4">
        <v>78</v>
      </c>
      <c r="BB4">
        <v>92</v>
      </c>
      <c r="BC4">
        <v>90</v>
      </c>
      <c r="BD4">
        <v>76</v>
      </c>
      <c r="BE4">
        <v>70</v>
      </c>
      <c r="BF4">
        <v>91</v>
      </c>
      <c r="BG4">
        <v>88</v>
      </c>
      <c r="BH4">
        <v>92</v>
      </c>
      <c r="BI4">
        <v>79</v>
      </c>
      <c r="BJ4">
        <v>67</v>
      </c>
      <c r="BK4">
        <v>83</v>
      </c>
      <c r="BL4">
        <v>58</v>
      </c>
      <c r="BM4">
        <v>82</v>
      </c>
      <c r="BN4">
        <v>62</v>
      </c>
      <c r="BO4">
        <v>80</v>
      </c>
      <c r="BP4">
        <v>78</v>
      </c>
      <c r="BQ4">
        <v>90</v>
      </c>
      <c r="BR4">
        <v>82</v>
      </c>
      <c r="BS4">
        <v>92</v>
      </c>
      <c r="BT4">
        <v>70</v>
      </c>
      <c r="BU4">
        <v>75</v>
      </c>
      <c r="BV4">
        <v>72</v>
      </c>
      <c r="BW4">
        <v>13</v>
      </c>
      <c r="BX4">
        <v>9</v>
      </c>
      <c r="BY4">
        <v>7</v>
      </c>
      <c r="BZ4">
        <v>14</v>
      </c>
      <c r="CA4">
        <v>9</v>
      </c>
      <c r="CB4">
        <v>79</v>
      </c>
      <c r="CC4">
        <v>83</v>
      </c>
      <c r="CD4">
        <v>82</v>
      </c>
      <c r="CE4">
        <v>82</v>
      </c>
      <c r="CF4">
        <v>82</v>
      </c>
      <c r="CG4">
        <v>83</v>
      </c>
      <c r="CH4">
        <v>88</v>
      </c>
      <c r="CI4">
        <v>87</v>
      </c>
      <c r="CJ4">
        <v>88</v>
      </c>
      <c r="CK4">
        <v>87</v>
      </c>
      <c r="CL4">
        <v>84</v>
      </c>
      <c r="CM4">
        <v>84</v>
      </c>
      <c r="CN4">
        <v>84</v>
      </c>
      <c r="CO4">
        <v>82</v>
      </c>
      <c r="CP4">
        <v>75</v>
      </c>
      <c r="CQ4">
        <v>82</v>
      </c>
      <c r="CR4">
        <v>22</v>
      </c>
    </row>
    <row r="5" spans="1:96">
      <c r="A5">
        <v>4</v>
      </c>
      <c r="B5" t="s">
        <v>125</v>
      </c>
      <c r="C5" t="s">
        <v>96</v>
      </c>
      <c r="D5" t="s">
        <v>97</v>
      </c>
      <c r="E5" t="s">
        <v>118</v>
      </c>
      <c r="F5">
        <v>88</v>
      </c>
      <c r="G5">
        <v>40</v>
      </c>
      <c r="H5" t="s">
        <v>126</v>
      </c>
      <c r="I5" t="s">
        <v>125</v>
      </c>
      <c r="J5">
        <v>88</v>
      </c>
      <c r="K5">
        <v>88</v>
      </c>
      <c r="L5">
        <v>72000000</v>
      </c>
      <c r="M5" t="s">
        <v>97</v>
      </c>
      <c r="N5" t="s">
        <v>97</v>
      </c>
      <c r="O5" t="s">
        <v>127</v>
      </c>
      <c r="P5" t="s">
        <v>128</v>
      </c>
      <c r="Q5">
        <v>32</v>
      </c>
      <c r="R5">
        <v>183</v>
      </c>
      <c r="S5">
        <v>76</v>
      </c>
      <c r="T5">
        <v>2147</v>
      </c>
      <c r="U5">
        <v>444</v>
      </c>
      <c r="V5" t="s">
        <v>123</v>
      </c>
      <c r="W5">
        <v>310000</v>
      </c>
      <c r="X5">
        <v>147600000</v>
      </c>
      <c r="Y5" t="s">
        <v>97</v>
      </c>
      <c r="Z5">
        <v>2023</v>
      </c>
      <c r="AA5">
        <v>8</v>
      </c>
      <c r="AB5">
        <v>2014</v>
      </c>
      <c r="AC5" t="s">
        <v>103</v>
      </c>
      <c r="AD5" t="s">
        <v>104</v>
      </c>
      <c r="AE5">
        <v>5</v>
      </c>
      <c r="AF5">
        <v>3</v>
      </c>
      <c r="AG5">
        <v>4</v>
      </c>
      <c r="AH5" t="s">
        <v>103</v>
      </c>
      <c r="AI5" t="s">
        <v>129</v>
      </c>
      <c r="AJ5" t="s">
        <v>103</v>
      </c>
      <c r="AK5" t="s">
        <v>103</v>
      </c>
      <c r="AL5" t="s">
        <v>116</v>
      </c>
      <c r="AM5" t="s">
        <v>116</v>
      </c>
      <c r="AN5">
        <v>53</v>
      </c>
      <c r="AO5">
        <v>81</v>
      </c>
      <c r="AP5">
        <v>90</v>
      </c>
      <c r="AQ5">
        <v>81</v>
      </c>
      <c r="AR5">
        <v>71</v>
      </c>
      <c r="AS5">
        <v>68</v>
      </c>
      <c r="AT5">
        <v>88</v>
      </c>
      <c r="AU5">
        <v>77</v>
      </c>
      <c r="AV5">
        <v>58</v>
      </c>
      <c r="AW5">
        <v>93</v>
      </c>
      <c r="AX5">
        <v>82</v>
      </c>
      <c r="AY5">
        <v>80</v>
      </c>
      <c r="AZ5">
        <v>86</v>
      </c>
      <c r="BA5">
        <v>84</v>
      </c>
      <c r="BB5">
        <v>93</v>
      </c>
      <c r="BC5">
        <v>88</v>
      </c>
      <c r="BD5">
        <v>55</v>
      </c>
      <c r="BE5">
        <v>52</v>
      </c>
      <c r="BF5">
        <v>63</v>
      </c>
      <c r="BG5">
        <v>90</v>
      </c>
      <c r="BH5">
        <v>71</v>
      </c>
      <c r="BI5">
        <v>89</v>
      </c>
      <c r="BJ5">
        <v>32</v>
      </c>
      <c r="BK5">
        <v>75</v>
      </c>
      <c r="BL5">
        <v>72</v>
      </c>
      <c r="BM5">
        <v>86</v>
      </c>
      <c r="BN5">
        <v>60</v>
      </c>
      <c r="BO5">
        <v>80</v>
      </c>
      <c r="BP5">
        <v>76</v>
      </c>
      <c r="BQ5">
        <v>89</v>
      </c>
      <c r="BR5">
        <v>73</v>
      </c>
      <c r="BS5">
        <v>88</v>
      </c>
      <c r="BT5">
        <v>71</v>
      </c>
      <c r="BU5">
        <v>73</v>
      </c>
      <c r="BV5">
        <v>60</v>
      </c>
      <c r="BW5">
        <v>10</v>
      </c>
      <c r="BX5">
        <v>11</v>
      </c>
      <c r="BY5">
        <v>13</v>
      </c>
      <c r="BZ5">
        <v>7</v>
      </c>
      <c r="CA5">
        <v>10</v>
      </c>
      <c r="CB5">
        <v>80</v>
      </c>
      <c r="CC5">
        <v>80</v>
      </c>
      <c r="CD5">
        <v>81</v>
      </c>
      <c r="CE5">
        <v>81</v>
      </c>
      <c r="CF5">
        <v>81</v>
      </c>
      <c r="CG5">
        <v>80</v>
      </c>
      <c r="CH5">
        <v>86</v>
      </c>
      <c r="CI5">
        <v>84</v>
      </c>
      <c r="CJ5">
        <v>88</v>
      </c>
      <c r="CK5">
        <v>84</v>
      </c>
      <c r="CL5">
        <v>80</v>
      </c>
      <c r="CM5">
        <v>84</v>
      </c>
      <c r="CN5">
        <v>80</v>
      </c>
      <c r="CO5">
        <v>77</v>
      </c>
      <c r="CP5">
        <v>74</v>
      </c>
      <c r="CQ5">
        <v>77</v>
      </c>
      <c r="CR5">
        <v>22</v>
      </c>
    </row>
    <row r="6" spans="1:96">
      <c r="A6">
        <v>5</v>
      </c>
      <c r="B6" t="s">
        <v>130</v>
      </c>
      <c r="C6" t="s">
        <v>96</v>
      </c>
      <c r="D6" t="s">
        <v>97</v>
      </c>
      <c r="E6" t="s">
        <v>98</v>
      </c>
      <c r="F6">
        <v>88</v>
      </c>
      <c r="G6">
        <v>40</v>
      </c>
      <c r="H6" t="s">
        <v>130</v>
      </c>
      <c r="I6" t="s">
        <v>131</v>
      </c>
      <c r="J6">
        <v>88</v>
      </c>
      <c r="K6">
        <v>88</v>
      </c>
      <c r="L6">
        <v>97500000</v>
      </c>
      <c r="M6" t="s">
        <v>132</v>
      </c>
      <c r="N6" t="s">
        <v>133</v>
      </c>
      <c r="O6" t="s">
        <v>134</v>
      </c>
      <c r="P6" t="s">
        <v>135</v>
      </c>
      <c r="Q6">
        <v>27</v>
      </c>
      <c r="R6">
        <v>173</v>
      </c>
      <c r="S6">
        <v>64</v>
      </c>
      <c r="T6">
        <v>2185</v>
      </c>
      <c r="U6">
        <v>460</v>
      </c>
      <c r="V6" t="s">
        <v>98</v>
      </c>
      <c r="W6">
        <v>260000</v>
      </c>
      <c r="X6">
        <v>180400000</v>
      </c>
      <c r="Y6" t="s">
        <v>136</v>
      </c>
      <c r="Z6">
        <v>2025</v>
      </c>
      <c r="AA6">
        <v>20</v>
      </c>
      <c r="AB6">
        <v>2017</v>
      </c>
      <c r="AC6" t="s">
        <v>103</v>
      </c>
      <c r="AD6" t="s">
        <v>137</v>
      </c>
      <c r="AE6">
        <v>3</v>
      </c>
      <c r="AF6">
        <v>4</v>
      </c>
      <c r="AG6">
        <v>2</v>
      </c>
      <c r="AH6" t="s">
        <v>134</v>
      </c>
      <c r="AI6" t="s">
        <v>138</v>
      </c>
      <c r="AJ6" t="s">
        <v>97</v>
      </c>
      <c r="AK6">
        <v>10</v>
      </c>
      <c r="AL6" t="s">
        <v>107</v>
      </c>
      <c r="AM6" t="s">
        <v>107</v>
      </c>
      <c r="AN6">
        <v>77</v>
      </c>
      <c r="AO6">
        <v>78</v>
      </c>
      <c r="AP6">
        <v>84</v>
      </c>
      <c r="AQ6">
        <v>92</v>
      </c>
      <c r="AR6">
        <v>61</v>
      </c>
      <c r="AS6">
        <v>68</v>
      </c>
      <c r="AT6">
        <v>85</v>
      </c>
      <c r="AU6">
        <v>79</v>
      </c>
      <c r="AV6">
        <v>51</v>
      </c>
      <c r="AW6">
        <v>89</v>
      </c>
      <c r="AX6">
        <v>78</v>
      </c>
      <c r="AY6">
        <v>92</v>
      </c>
      <c r="AZ6">
        <v>85</v>
      </c>
      <c r="BA6">
        <v>67</v>
      </c>
      <c r="BB6">
        <v>77</v>
      </c>
      <c r="BC6">
        <v>91</v>
      </c>
      <c r="BD6">
        <v>84</v>
      </c>
      <c r="BE6">
        <v>71</v>
      </c>
      <c r="BF6">
        <v>94</v>
      </c>
      <c r="BG6">
        <v>87</v>
      </c>
      <c r="BH6">
        <v>92</v>
      </c>
      <c r="BI6">
        <v>79</v>
      </c>
      <c r="BJ6">
        <v>51</v>
      </c>
      <c r="BK6">
        <v>93</v>
      </c>
      <c r="BL6">
        <v>54</v>
      </c>
      <c r="BM6">
        <v>78</v>
      </c>
      <c r="BN6">
        <v>75</v>
      </c>
      <c r="BO6">
        <v>60</v>
      </c>
      <c r="BP6">
        <v>83</v>
      </c>
      <c r="BQ6">
        <v>85</v>
      </c>
      <c r="BR6">
        <v>68</v>
      </c>
      <c r="BS6">
        <v>90</v>
      </c>
      <c r="BT6">
        <v>59</v>
      </c>
      <c r="BU6">
        <v>71</v>
      </c>
      <c r="BV6">
        <v>53</v>
      </c>
      <c r="BW6">
        <v>9</v>
      </c>
      <c r="BX6">
        <v>10</v>
      </c>
      <c r="BY6">
        <v>14</v>
      </c>
      <c r="BZ6">
        <v>12</v>
      </c>
      <c r="CA6">
        <v>9</v>
      </c>
      <c r="CB6">
        <v>80</v>
      </c>
      <c r="CC6">
        <v>86</v>
      </c>
      <c r="CD6">
        <v>84</v>
      </c>
      <c r="CE6">
        <v>84</v>
      </c>
      <c r="CF6">
        <v>84</v>
      </c>
      <c r="CG6">
        <v>86</v>
      </c>
      <c r="CH6">
        <v>88</v>
      </c>
      <c r="CI6">
        <v>88</v>
      </c>
      <c r="CJ6">
        <v>86</v>
      </c>
      <c r="CK6">
        <v>88</v>
      </c>
      <c r="CL6">
        <v>79</v>
      </c>
      <c r="CM6">
        <v>77</v>
      </c>
      <c r="CN6">
        <v>79</v>
      </c>
      <c r="CO6">
        <v>75</v>
      </c>
      <c r="CP6">
        <v>67</v>
      </c>
      <c r="CQ6">
        <v>75</v>
      </c>
      <c r="CR6">
        <v>21</v>
      </c>
    </row>
    <row r="7" spans="1:96">
      <c r="A7">
        <v>6</v>
      </c>
      <c r="B7" t="s">
        <v>139</v>
      </c>
      <c r="C7" t="s">
        <v>96</v>
      </c>
      <c r="D7" t="s">
        <v>97</v>
      </c>
      <c r="E7" t="s">
        <v>140</v>
      </c>
      <c r="F7">
        <v>87</v>
      </c>
      <c r="G7">
        <v>30</v>
      </c>
      <c r="H7" t="s">
        <v>141</v>
      </c>
      <c r="I7" t="s">
        <v>139</v>
      </c>
      <c r="J7">
        <v>87</v>
      </c>
      <c r="K7">
        <v>92</v>
      </c>
      <c r="L7">
        <v>116500000</v>
      </c>
      <c r="M7" t="s">
        <v>97</v>
      </c>
      <c r="N7" t="s">
        <v>97</v>
      </c>
      <c r="O7" t="s">
        <v>142</v>
      </c>
      <c r="P7" t="s">
        <v>143</v>
      </c>
      <c r="Q7">
        <v>25</v>
      </c>
      <c r="R7">
        <v>180</v>
      </c>
      <c r="S7">
        <v>74</v>
      </c>
      <c r="T7">
        <v>2238</v>
      </c>
      <c r="U7">
        <v>479</v>
      </c>
      <c r="V7" t="s">
        <v>144</v>
      </c>
      <c r="W7">
        <v>230000</v>
      </c>
      <c r="X7">
        <v>247600000</v>
      </c>
      <c r="Y7" t="s">
        <v>97</v>
      </c>
      <c r="Z7">
        <v>2026</v>
      </c>
      <c r="AA7">
        <v>21</v>
      </c>
      <c r="AB7">
        <v>2019</v>
      </c>
      <c r="AC7" t="s">
        <v>103</v>
      </c>
      <c r="AD7" t="s">
        <v>104</v>
      </c>
      <c r="AE7">
        <v>3</v>
      </c>
      <c r="AF7">
        <v>4</v>
      </c>
      <c r="AG7">
        <v>3</v>
      </c>
      <c r="AH7" t="s">
        <v>142</v>
      </c>
      <c r="AI7" t="s">
        <v>145</v>
      </c>
      <c r="AJ7" t="s">
        <v>109</v>
      </c>
      <c r="AK7">
        <v>21</v>
      </c>
      <c r="AL7" t="s">
        <v>107</v>
      </c>
      <c r="AM7" t="s">
        <v>116</v>
      </c>
      <c r="AN7">
        <v>82</v>
      </c>
      <c r="AO7">
        <v>69</v>
      </c>
      <c r="AP7">
        <v>86</v>
      </c>
      <c r="AQ7">
        <v>87</v>
      </c>
      <c r="AR7">
        <v>77</v>
      </c>
      <c r="AS7">
        <v>78</v>
      </c>
      <c r="AT7">
        <v>78</v>
      </c>
      <c r="AU7">
        <v>72</v>
      </c>
      <c r="AV7">
        <v>72</v>
      </c>
      <c r="AW7">
        <v>91</v>
      </c>
      <c r="AX7">
        <v>70</v>
      </c>
      <c r="AY7">
        <v>87</v>
      </c>
      <c r="AZ7">
        <v>84</v>
      </c>
      <c r="BA7">
        <v>64</v>
      </c>
      <c r="BB7">
        <v>89</v>
      </c>
      <c r="BC7">
        <v>89</v>
      </c>
      <c r="BD7">
        <v>80</v>
      </c>
      <c r="BE7">
        <v>83</v>
      </c>
      <c r="BF7">
        <v>87</v>
      </c>
      <c r="BG7">
        <v>88</v>
      </c>
      <c r="BH7">
        <v>79</v>
      </c>
      <c r="BI7">
        <v>68</v>
      </c>
      <c r="BJ7">
        <v>76</v>
      </c>
      <c r="BK7">
        <v>89</v>
      </c>
      <c r="BL7">
        <v>74</v>
      </c>
      <c r="BM7">
        <v>66</v>
      </c>
      <c r="BN7">
        <v>74</v>
      </c>
      <c r="BO7">
        <v>82</v>
      </c>
      <c r="BP7">
        <v>77</v>
      </c>
      <c r="BQ7">
        <v>88</v>
      </c>
      <c r="BR7">
        <v>53</v>
      </c>
      <c r="BS7">
        <v>90</v>
      </c>
      <c r="BT7">
        <v>76</v>
      </c>
      <c r="BU7">
        <v>76</v>
      </c>
      <c r="BV7">
        <v>77</v>
      </c>
      <c r="BW7">
        <v>7</v>
      </c>
      <c r="BX7">
        <v>13</v>
      </c>
      <c r="BY7">
        <v>10</v>
      </c>
      <c r="BZ7">
        <v>10</v>
      </c>
      <c r="CA7">
        <v>9</v>
      </c>
      <c r="CB7">
        <v>81</v>
      </c>
      <c r="CC7">
        <v>83</v>
      </c>
      <c r="CD7">
        <v>82</v>
      </c>
      <c r="CE7">
        <v>82</v>
      </c>
      <c r="CF7">
        <v>82</v>
      </c>
      <c r="CG7">
        <v>83</v>
      </c>
      <c r="CH7">
        <v>88</v>
      </c>
      <c r="CI7">
        <v>88</v>
      </c>
      <c r="CJ7">
        <v>89</v>
      </c>
      <c r="CK7">
        <v>88</v>
      </c>
      <c r="CL7">
        <v>86</v>
      </c>
      <c r="CM7">
        <v>87</v>
      </c>
      <c r="CN7">
        <v>86</v>
      </c>
      <c r="CO7">
        <v>85</v>
      </c>
      <c r="CP7">
        <v>81</v>
      </c>
      <c r="CQ7">
        <v>85</v>
      </c>
      <c r="CR7">
        <v>21</v>
      </c>
    </row>
    <row r="8" spans="1:96">
      <c r="A8">
        <v>7</v>
      </c>
      <c r="B8" t="s">
        <v>146</v>
      </c>
      <c r="C8" t="s">
        <v>96</v>
      </c>
      <c r="D8" t="s">
        <v>97</v>
      </c>
      <c r="E8" t="s">
        <v>147</v>
      </c>
      <c r="F8">
        <v>87</v>
      </c>
      <c r="G8">
        <v>30</v>
      </c>
      <c r="H8" t="s">
        <v>148</v>
      </c>
      <c r="I8" t="s">
        <v>146</v>
      </c>
      <c r="J8">
        <v>87</v>
      </c>
      <c r="K8">
        <v>88</v>
      </c>
      <c r="L8">
        <v>91000000</v>
      </c>
      <c r="M8" t="s">
        <v>149</v>
      </c>
      <c r="N8" t="s">
        <v>97</v>
      </c>
      <c r="O8" t="s">
        <v>127</v>
      </c>
      <c r="P8" t="s">
        <v>150</v>
      </c>
      <c r="Q8">
        <v>27</v>
      </c>
      <c r="R8">
        <v>189</v>
      </c>
      <c r="S8">
        <v>82</v>
      </c>
      <c r="T8">
        <v>2312</v>
      </c>
      <c r="U8">
        <v>492</v>
      </c>
      <c r="V8" t="s">
        <v>151</v>
      </c>
      <c r="W8">
        <v>115000</v>
      </c>
      <c r="X8">
        <v>157000000</v>
      </c>
      <c r="Y8" t="s">
        <v>109</v>
      </c>
      <c r="Z8">
        <v>2026</v>
      </c>
      <c r="AA8">
        <v>8</v>
      </c>
      <c r="AB8">
        <v>2018</v>
      </c>
      <c r="AC8" t="s">
        <v>103</v>
      </c>
      <c r="AD8" t="s">
        <v>104</v>
      </c>
      <c r="AE8">
        <v>4</v>
      </c>
      <c r="AF8">
        <v>3</v>
      </c>
      <c r="AG8">
        <v>4</v>
      </c>
      <c r="AH8" t="s">
        <v>127</v>
      </c>
      <c r="AI8" t="s">
        <v>129</v>
      </c>
      <c r="AJ8" t="s">
        <v>114</v>
      </c>
      <c r="AK8">
        <v>8</v>
      </c>
      <c r="AL8" t="s">
        <v>107</v>
      </c>
      <c r="AM8" t="s">
        <v>116</v>
      </c>
      <c r="AN8">
        <v>78</v>
      </c>
      <c r="AO8">
        <v>82</v>
      </c>
      <c r="AP8">
        <v>82</v>
      </c>
      <c r="AQ8">
        <v>83</v>
      </c>
      <c r="AR8">
        <v>81</v>
      </c>
      <c r="AS8">
        <v>86</v>
      </c>
      <c r="AT8">
        <v>75</v>
      </c>
      <c r="AU8">
        <v>82</v>
      </c>
      <c r="AV8">
        <v>86</v>
      </c>
      <c r="AW8">
        <v>86</v>
      </c>
      <c r="AX8">
        <v>71</v>
      </c>
      <c r="AY8">
        <v>84</v>
      </c>
      <c r="AZ8">
        <v>76</v>
      </c>
      <c r="BA8">
        <v>75</v>
      </c>
      <c r="BB8">
        <v>85</v>
      </c>
      <c r="BC8">
        <v>86</v>
      </c>
      <c r="BD8">
        <v>78</v>
      </c>
      <c r="BE8">
        <v>78</v>
      </c>
      <c r="BF8">
        <v>76</v>
      </c>
      <c r="BG8">
        <v>87</v>
      </c>
      <c r="BH8">
        <v>73</v>
      </c>
      <c r="BI8">
        <v>85</v>
      </c>
      <c r="BJ8">
        <v>80</v>
      </c>
      <c r="BK8">
        <v>86</v>
      </c>
      <c r="BL8">
        <v>88</v>
      </c>
      <c r="BM8">
        <v>86</v>
      </c>
      <c r="BN8">
        <v>82</v>
      </c>
      <c r="BO8">
        <v>86</v>
      </c>
      <c r="BP8">
        <v>85</v>
      </c>
      <c r="BQ8">
        <v>84</v>
      </c>
      <c r="BR8">
        <v>60</v>
      </c>
      <c r="BS8">
        <v>82</v>
      </c>
      <c r="BT8">
        <v>74</v>
      </c>
      <c r="BU8">
        <v>84</v>
      </c>
      <c r="BV8">
        <v>78</v>
      </c>
      <c r="BW8">
        <v>13</v>
      </c>
      <c r="BX8">
        <v>8</v>
      </c>
      <c r="BY8">
        <v>15</v>
      </c>
      <c r="BZ8">
        <v>11</v>
      </c>
      <c r="CA8">
        <v>9</v>
      </c>
      <c r="CB8">
        <v>87</v>
      </c>
      <c r="CC8">
        <v>83</v>
      </c>
      <c r="CD8">
        <v>84</v>
      </c>
      <c r="CE8">
        <v>84</v>
      </c>
      <c r="CF8">
        <v>84</v>
      </c>
      <c r="CG8">
        <v>83</v>
      </c>
      <c r="CH8">
        <v>87</v>
      </c>
      <c r="CI8">
        <v>86</v>
      </c>
      <c r="CJ8">
        <v>88</v>
      </c>
      <c r="CK8">
        <v>86</v>
      </c>
      <c r="CL8">
        <v>85</v>
      </c>
      <c r="CM8">
        <v>87</v>
      </c>
      <c r="CN8">
        <v>85</v>
      </c>
      <c r="CO8">
        <v>85</v>
      </c>
      <c r="CP8">
        <v>86</v>
      </c>
      <c r="CQ8">
        <v>85</v>
      </c>
      <c r="CR8">
        <v>22</v>
      </c>
    </row>
    <row r="9" spans="1:96">
      <c r="A9">
        <v>8</v>
      </c>
      <c r="B9" t="s">
        <v>152</v>
      </c>
      <c r="C9" t="s">
        <v>96</v>
      </c>
      <c r="D9" t="s">
        <v>97</v>
      </c>
      <c r="E9" t="s">
        <v>153</v>
      </c>
      <c r="F9">
        <v>87</v>
      </c>
      <c r="G9">
        <v>30</v>
      </c>
      <c r="H9" t="s">
        <v>154</v>
      </c>
      <c r="I9" t="s">
        <v>155</v>
      </c>
      <c r="J9">
        <v>87</v>
      </c>
      <c r="K9">
        <v>87</v>
      </c>
      <c r="L9">
        <v>77500000</v>
      </c>
      <c r="M9" t="s">
        <v>100</v>
      </c>
      <c r="N9" t="s">
        <v>97</v>
      </c>
      <c r="O9" t="s">
        <v>156</v>
      </c>
      <c r="P9" t="s">
        <v>157</v>
      </c>
      <c r="Q9">
        <v>29</v>
      </c>
      <c r="R9">
        <v>165</v>
      </c>
      <c r="S9">
        <v>60</v>
      </c>
      <c r="T9">
        <v>2189</v>
      </c>
      <c r="U9">
        <v>444</v>
      </c>
      <c r="V9" t="s">
        <v>158</v>
      </c>
      <c r="W9">
        <v>155000</v>
      </c>
      <c r="X9">
        <v>143400000</v>
      </c>
      <c r="Y9" t="s">
        <v>97</v>
      </c>
      <c r="Z9">
        <v>2024</v>
      </c>
      <c r="AA9">
        <v>6</v>
      </c>
      <c r="AB9">
        <v>2012</v>
      </c>
      <c r="AC9" t="s">
        <v>103</v>
      </c>
      <c r="AD9" t="s">
        <v>104</v>
      </c>
      <c r="AE9">
        <v>4</v>
      </c>
      <c r="AF9">
        <v>4</v>
      </c>
      <c r="AG9">
        <v>3</v>
      </c>
      <c r="AH9" t="s">
        <v>156</v>
      </c>
      <c r="AI9" t="s">
        <v>159</v>
      </c>
      <c r="AJ9" t="s">
        <v>97</v>
      </c>
      <c r="AK9">
        <v>6</v>
      </c>
      <c r="AL9" t="s">
        <v>116</v>
      </c>
      <c r="AM9" t="s">
        <v>107</v>
      </c>
      <c r="AN9">
        <v>60</v>
      </c>
      <c r="AO9">
        <v>61</v>
      </c>
      <c r="AP9">
        <v>87</v>
      </c>
      <c r="AQ9">
        <v>91</v>
      </c>
      <c r="AR9">
        <v>79</v>
      </c>
      <c r="AS9">
        <v>66</v>
      </c>
      <c r="AT9">
        <v>82</v>
      </c>
      <c r="AU9">
        <v>60</v>
      </c>
      <c r="AV9">
        <v>57</v>
      </c>
      <c r="AW9">
        <v>90</v>
      </c>
      <c r="AX9">
        <v>64</v>
      </c>
      <c r="AY9">
        <v>91</v>
      </c>
      <c r="AZ9">
        <v>85</v>
      </c>
      <c r="BA9">
        <v>64</v>
      </c>
      <c r="BB9">
        <v>89</v>
      </c>
      <c r="BC9">
        <v>92</v>
      </c>
      <c r="BD9">
        <v>65</v>
      </c>
      <c r="BE9">
        <v>55</v>
      </c>
      <c r="BF9">
        <v>90</v>
      </c>
      <c r="BG9">
        <v>87</v>
      </c>
      <c r="BH9">
        <v>93</v>
      </c>
      <c r="BI9">
        <v>60</v>
      </c>
      <c r="BJ9">
        <v>66</v>
      </c>
      <c r="BK9">
        <v>75</v>
      </c>
      <c r="BL9">
        <v>53</v>
      </c>
      <c r="BM9">
        <v>58</v>
      </c>
      <c r="BN9">
        <v>89</v>
      </c>
      <c r="BO9">
        <v>85</v>
      </c>
      <c r="BP9">
        <v>78</v>
      </c>
      <c r="BQ9">
        <v>89</v>
      </c>
      <c r="BR9">
        <v>64</v>
      </c>
      <c r="BS9">
        <v>94</v>
      </c>
      <c r="BT9">
        <v>78</v>
      </c>
      <c r="BU9">
        <v>82</v>
      </c>
      <c r="BV9">
        <v>84</v>
      </c>
      <c r="BW9">
        <v>12</v>
      </c>
      <c r="BX9">
        <v>12</v>
      </c>
      <c r="BY9">
        <v>15</v>
      </c>
      <c r="BZ9">
        <v>15</v>
      </c>
      <c r="CA9">
        <v>10</v>
      </c>
      <c r="CB9">
        <v>74</v>
      </c>
      <c r="CC9">
        <v>80</v>
      </c>
      <c r="CD9">
        <v>79</v>
      </c>
      <c r="CE9">
        <v>79</v>
      </c>
      <c r="CF9">
        <v>79</v>
      </c>
      <c r="CG9">
        <v>80</v>
      </c>
      <c r="CH9">
        <v>86</v>
      </c>
      <c r="CI9">
        <v>85</v>
      </c>
      <c r="CJ9">
        <v>87</v>
      </c>
      <c r="CK9">
        <v>85</v>
      </c>
      <c r="CL9">
        <v>85</v>
      </c>
      <c r="CM9">
        <v>87</v>
      </c>
      <c r="CN9">
        <v>85</v>
      </c>
      <c r="CO9">
        <v>83</v>
      </c>
      <c r="CP9">
        <v>80</v>
      </c>
      <c r="CQ9">
        <v>83</v>
      </c>
      <c r="CR9">
        <v>24</v>
      </c>
    </row>
    <row r="10" spans="1:96">
      <c r="A10">
        <v>9</v>
      </c>
      <c r="B10" t="s">
        <v>160</v>
      </c>
      <c r="C10" t="s">
        <v>96</v>
      </c>
      <c r="D10" t="s">
        <v>161</v>
      </c>
      <c r="E10" t="s">
        <v>110</v>
      </c>
      <c r="F10">
        <v>86</v>
      </c>
      <c r="G10">
        <v>30</v>
      </c>
      <c r="H10" t="s">
        <v>160</v>
      </c>
      <c r="I10" t="s">
        <v>162</v>
      </c>
      <c r="J10">
        <v>86</v>
      </c>
      <c r="K10">
        <v>86</v>
      </c>
      <c r="L10">
        <v>72500000</v>
      </c>
      <c r="M10" t="s">
        <v>132</v>
      </c>
      <c r="N10" t="s">
        <v>133</v>
      </c>
      <c r="O10" t="s">
        <v>134</v>
      </c>
      <c r="P10" t="s">
        <v>163</v>
      </c>
      <c r="Q10">
        <v>27</v>
      </c>
      <c r="R10">
        <v>179</v>
      </c>
      <c r="S10">
        <v>69</v>
      </c>
      <c r="T10">
        <v>2305</v>
      </c>
      <c r="U10">
        <v>470</v>
      </c>
      <c r="V10" t="s">
        <v>110</v>
      </c>
      <c r="W10">
        <v>190000</v>
      </c>
      <c r="X10">
        <v>137800000</v>
      </c>
      <c r="Y10" t="s">
        <v>133</v>
      </c>
      <c r="Z10">
        <v>2026</v>
      </c>
      <c r="AA10">
        <v>8</v>
      </c>
      <c r="AB10">
        <v>2020</v>
      </c>
      <c r="AC10" t="s">
        <v>103</v>
      </c>
      <c r="AD10" t="s">
        <v>104</v>
      </c>
      <c r="AE10">
        <v>3</v>
      </c>
      <c r="AF10">
        <v>4</v>
      </c>
      <c r="AG10">
        <v>3</v>
      </c>
      <c r="AH10" t="s">
        <v>134</v>
      </c>
      <c r="AI10" t="s">
        <v>138</v>
      </c>
      <c r="AJ10" t="s">
        <v>97</v>
      </c>
      <c r="AK10">
        <v>11</v>
      </c>
      <c r="AL10" t="s">
        <v>107</v>
      </c>
      <c r="AM10" t="s">
        <v>107</v>
      </c>
      <c r="AN10">
        <v>72</v>
      </c>
      <c r="AO10">
        <v>86</v>
      </c>
      <c r="AP10">
        <v>88</v>
      </c>
      <c r="AQ10">
        <v>81</v>
      </c>
      <c r="AR10">
        <v>67</v>
      </c>
      <c r="AS10">
        <v>76</v>
      </c>
      <c r="AT10">
        <v>85</v>
      </c>
      <c r="AU10">
        <v>83</v>
      </c>
      <c r="AV10">
        <v>64</v>
      </c>
      <c r="AW10">
        <v>88</v>
      </c>
      <c r="AX10">
        <v>87</v>
      </c>
      <c r="AY10">
        <v>79</v>
      </c>
      <c r="AZ10">
        <v>87</v>
      </c>
      <c r="BA10">
        <v>85</v>
      </c>
      <c r="BB10">
        <v>88</v>
      </c>
      <c r="BC10">
        <v>84</v>
      </c>
      <c r="BD10">
        <v>75</v>
      </c>
      <c r="BE10">
        <v>69</v>
      </c>
      <c r="BF10">
        <v>78</v>
      </c>
      <c r="BG10">
        <v>91</v>
      </c>
      <c r="BH10">
        <v>79</v>
      </c>
      <c r="BI10">
        <v>88</v>
      </c>
      <c r="BJ10">
        <v>71</v>
      </c>
      <c r="BK10">
        <v>92</v>
      </c>
      <c r="BL10">
        <v>66</v>
      </c>
      <c r="BM10">
        <v>88</v>
      </c>
      <c r="BN10">
        <v>80</v>
      </c>
      <c r="BO10">
        <v>64</v>
      </c>
      <c r="BP10">
        <v>86</v>
      </c>
      <c r="BQ10">
        <v>91</v>
      </c>
      <c r="BR10">
        <v>90</v>
      </c>
      <c r="BS10">
        <v>79</v>
      </c>
      <c r="BT10">
        <v>66</v>
      </c>
      <c r="BU10">
        <v>73</v>
      </c>
      <c r="BV10">
        <v>65</v>
      </c>
      <c r="BW10">
        <v>12</v>
      </c>
      <c r="BX10">
        <v>14</v>
      </c>
      <c r="BY10">
        <v>15</v>
      </c>
      <c r="BZ10">
        <v>8</v>
      </c>
      <c r="CA10">
        <v>14</v>
      </c>
      <c r="CB10">
        <v>84</v>
      </c>
      <c r="CC10">
        <v>83</v>
      </c>
      <c r="CD10">
        <v>84</v>
      </c>
      <c r="CE10">
        <v>84</v>
      </c>
      <c r="CF10">
        <v>84</v>
      </c>
      <c r="CG10">
        <v>83</v>
      </c>
      <c r="CH10">
        <v>86</v>
      </c>
      <c r="CI10">
        <v>86</v>
      </c>
      <c r="CJ10">
        <v>86</v>
      </c>
      <c r="CK10">
        <v>86</v>
      </c>
      <c r="CL10">
        <v>81</v>
      </c>
      <c r="CM10">
        <v>82</v>
      </c>
      <c r="CN10">
        <v>81</v>
      </c>
      <c r="CO10">
        <v>79</v>
      </c>
      <c r="CP10">
        <v>74</v>
      </c>
      <c r="CQ10">
        <v>79</v>
      </c>
      <c r="CR10">
        <v>24</v>
      </c>
    </row>
    <row r="11" spans="1:96">
      <c r="A11">
        <v>10</v>
      </c>
      <c r="B11" t="s">
        <v>164</v>
      </c>
      <c r="C11" t="s">
        <v>96</v>
      </c>
      <c r="D11" t="s">
        <v>97</v>
      </c>
      <c r="E11" t="s">
        <v>118</v>
      </c>
      <c r="F11">
        <v>86</v>
      </c>
      <c r="G11">
        <v>30</v>
      </c>
      <c r="H11" t="s">
        <v>165</v>
      </c>
      <c r="I11" t="s">
        <v>164</v>
      </c>
      <c r="J11">
        <v>84</v>
      </c>
      <c r="K11">
        <v>91</v>
      </c>
      <c r="L11">
        <v>81500000</v>
      </c>
      <c r="M11" t="s">
        <v>166</v>
      </c>
      <c r="N11" t="s">
        <v>97</v>
      </c>
      <c r="O11" t="s">
        <v>167</v>
      </c>
      <c r="P11" t="s">
        <v>168</v>
      </c>
      <c r="Q11">
        <v>19</v>
      </c>
      <c r="R11">
        <v>186</v>
      </c>
      <c r="S11">
        <v>75</v>
      </c>
      <c r="T11">
        <v>2182</v>
      </c>
      <c r="U11">
        <v>469</v>
      </c>
      <c r="V11" t="s">
        <v>169</v>
      </c>
      <c r="W11">
        <v>41000</v>
      </c>
      <c r="X11">
        <v>154900000</v>
      </c>
      <c r="Y11" t="s">
        <v>109</v>
      </c>
      <c r="Z11">
        <v>2025</v>
      </c>
      <c r="AA11">
        <v>22</v>
      </c>
      <c r="AB11">
        <v>2020</v>
      </c>
      <c r="AC11" t="s">
        <v>103</v>
      </c>
      <c r="AD11" t="s">
        <v>104</v>
      </c>
      <c r="AE11">
        <v>4</v>
      </c>
      <c r="AF11">
        <v>4</v>
      </c>
      <c r="AG11">
        <v>2</v>
      </c>
      <c r="AH11" t="s">
        <v>167</v>
      </c>
      <c r="AI11" t="s">
        <v>170</v>
      </c>
      <c r="AJ11" t="s">
        <v>114</v>
      </c>
      <c r="AK11">
        <v>26</v>
      </c>
      <c r="AL11" t="s">
        <v>107</v>
      </c>
      <c r="AM11" t="s">
        <v>107</v>
      </c>
      <c r="AN11">
        <v>75</v>
      </c>
      <c r="AO11">
        <v>75</v>
      </c>
      <c r="AP11">
        <v>78</v>
      </c>
      <c r="AQ11">
        <v>84</v>
      </c>
      <c r="AR11">
        <v>77</v>
      </c>
      <c r="AS11">
        <v>80</v>
      </c>
      <c r="AT11">
        <v>66</v>
      </c>
      <c r="AU11">
        <v>77</v>
      </c>
      <c r="AV11">
        <v>67</v>
      </c>
      <c r="AW11">
        <v>84</v>
      </c>
      <c r="AX11">
        <v>71</v>
      </c>
      <c r="AY11">
        <v>85</v>
      </c>
      <c r="AZ11">
        <v>68</v>
      </c>
      <c r="BA11">
        <v>49</v>
      </c>
      <c r="BB11">
        <v>82</v>
      </c>
      <c r="BC11">
        <v>84</v>
      </c>
      <c r="BD11">
        <v>78</v>
      </c>
      <c r="BE11">
        <v>73</v>
      </c>
      <c r="BF11">
        <v>81</v>
      </c>
      <c r="BG11">
        <v>84</v>
      </c>
      <c r="BH11">
        <v>79</v>
      </c>
      <c r="BI11">
        <v>78</v>
      </c>
      <c r="BJ11">
        <v>76</v>
      </c>
      <c r="BK11">
        <v>89</v>
      </c>
      <c r="BL11">
        <v>74</v>
      </c>
      <c r="BM11">
        <v>74</v>
      </c>
      <c r="BN11">
        <v>85</v>
      </c>
      <c r="BO11">
        <v>80</v>
      </c>
      <c r="BP11">
        <v>77</v>
      </c>
      <c r="BQ11">
        <v>84</v>
      </c>
      <c r="BR11">
        <v>56</v>
      </c>
      <c r="BS11">
        <v>79</v>
      </c>
      <c r="BT11">
        <v>79</v>
      </c>
      <c r="BU11">
        <v>78</v>
      </c>
      <c r="BV11">
        <v>76</v>
      </c>
      <c r="BW11">
        <v>14</v>
      </c>
      <c r="BX11">
        <v>11</v>
      </c>
      <c r="BY11">
        <v>10</v>
      </c>
      <c r="BZ11">
        <v>5</v>
      </c>
      <c r="CA11">
        <v>8</v>
      </c>
      <c r="CB11">
        <v>80</v>
      </c>
      <c r="CC11">
        <v>80</v>
      </c>
      <c r="CD11">
        <v>81</v>
      </c>
      <c r="CE11">
        <v>81</v>
      </c>
      <c r="CF11">
        <v>81</v>
      </c>
      <c r="CG11">
        <v>80</v>
      </c>
      <c r="CH11">
        <v>84</v>
      </c>
      <c r="CI11">
        <v>82</v>
      </c>
      <c r="CJ11">
        <v>85</v>
      </c>
      <c r="CK11">
        <v>82</v>
      </c>
      <c r="CL11">
        <v>81</v>
      </c>
      <c r="CM11">
        <v>84</v>
      </c>
      <c r="CN11">
        <v>81</v>
      </c>
      <c r="CO11">
        <v>80</v>
      </c>
      <c r="CP11">
        <v>80</v>
      </c>
      <c r="CQ11">
        <v>80</v>
      </c>
      <c r="CR11">
        <v>20</v>
      </c>
    </row>
    <row r="12" spans="1:96">
      <c r="A12">
        <v>11</v>
      </c>
      <c r="B12" t="s">
        <v>171</v>
      </c>
      <c r="C12" t="s">
        <v>96</v>
      </c>
      <c r="D12" t="s">
        <v>97</v>
      </c>
      <c r="E12" t="s">
        <v>118</v>
      </c>
      <c r="F12">
        <v>86</v>
      </c>
      <c r="G12">
        <v>30</v>
      </c>
      <c r="H12" t="s">
        <v>172</v>
      </c>
      <c r="I12" t="s">
        <v>171</v>
      </c>
      <c r="J12">
        <v>84</v>
      </c>
      <c r="K12">
        <v>90</v>
      </c>
      <c r="L12">
        <v>66000000</v>
      </c>
      <c r="M12" t="s">
        <v>173</v>
      </c>
      <c r="N12" t="s">
        <v>97</v>
      </c>
      <c r="O12" t="s">
        <v>174</v>
      </c>
      <c r="P12" t="s">
        <v>175</v>
      </c>
      <c r="Q12">
        <v>23</v>
      </c>
      <c r="R12">
        <v>182</v>
      </c>
      <c r="S12">
        <v>78</v>
      </c>
      <c r="T12">
        <v>2192</v>
      </c>
      <c r="U12">
        <v>478</v>
      </c>
      <c r="V12" t="s">
        <v>123</v>
      </c>
      <c r="W12">
        <v>175000</v>
      </c>
      <c r="X12">
        <v>148500000</v>
      </c>
      <c r="Y12" t="s">
        <v>114</v>
      </c>
      <c r="Z12">
        <v>2027</v>
      </c>
      <c r="AA12">
        <v>15</v>
      </c>
      <c r="AB12">
        <v>2016</v>
      </c>
      <c r="AC12" t="s">
        <v>103</v>
      </c>
      <c r="AD12" t="s">
        <v>104</v>
      </c>
      <c r="AE12">
        <v>4</v>
      </c>
      <c r="AF12">
        <v>3</v>
      </c>
      <c r="AG12">
        <v>1</v>
      </c>
      <c r="AH12" t="s">
        <v>103</v>
      </c>
      <c r="AI12" t="s">
        <v>176</v>
      </c>
      <c r="AJ12" t="s">
        <v>103</v>
      </c>
      <c r="AK12" t="s">
        <v>103</v>
      </c>
      <c r="AL12" t="s">
        <v>107</v>
      </c>
      <c r="AM12" t="s">
        <v>107</v>
      </c>
      <c r="AN12">
        <v>87</v>
      </c>
      <c r="AO12">
        <v>74</v>
      </c>
      <c r="AP12">
        <v>80</v>
      </c>
      <c r="AQ12">
        <v>79</v>
      </c>
      <c r="AR12">
        <v>78</v>
      </c>
      <c r="AS12">
        <v>80</v>
      </c>
      <c r="AT12">
        <v>70</v>
      </c>
      <c r="AU12">
        <v>69</v>
      </c>
      <c r="AV12">
        <v>59</v>
      </c>
      <c r="AW12">
        <v>86</v>
      </c>
      <c r="AX12">
        <v>70</v>
      </c>
      <c r="AY12">
        <v>78</v>
      </c>
      <c r="AZ12">
        <v>70</v>
      </c>
      <c r="BA12">
        <v>66</v>
      </c>
      <c r="BB12">
        <v>85</v>
      </c>
      <c r="BC12">
        <v>83</v>
      </c>
      <c r="BD12">
        <v>82</v>
      </c>
      <c r="BE12">
        <v>91</v>
      </c>
      <c r="BF12">
        <v>76</v>
      </c>
      <c r="BG12">
        <v>84</v>
      </c>
      <c r="BH12">
        <v>68</v>
      </c>
      <c r="BI12">
        <v>83</v>
      </c>
      <c r="BJ12">
        <v>62</v>
      </c>
      <c r="BK12">
        <v>86</v>
      </c>
      <c r="BL12">
        <v>79</v>
      </c>
      <c r="BM12">
        <v>81</v>
      </c>
      <c r="BN12">
        <v>81</v>
      </c>
      <c r="BO12">
        <v>81</v>
      </c>
      <c r="BP12">
        <v>78</v>
      </c>
      <c r="BQ12">
        <v>81</v>
      </c>
      <c r="BR12">
        <v>59</v>
      </c>
      <c r="BS12">
        <v>82</v>
      </c>
      <c r="BT12">
        <v>79</v>
      </c>
      <c r="BU12">
        <v>81</v>
      </c>
      <c r="BV12">
        <v>79</v>
      </c>
      <c r="BW12">
        <v>6</v>
      </c>
      <c r="BX12">
        <v>10</v>
      </c>
      <c r="BY12">
        <v>6</v>
      </c>
      <c r="BZ12">
        <v>15</v>
      </c>
      <c r="CA12">
        <v>8</v>
      </c>
      <c r="CB12">
        <v>79</v>
      </c>
      <c r="CC12">
        <v>80</v>
      </c>
      <c r="CD12">
        <v>80</v>
      </c>
      <c r="CE12">
        <v>80</v>
      </c>
      <c r="CF12">
        <v>80</v>
      </c>
      <c r="CG12">
        <v>80</v>
      </c>
      <c r="CH12">
        <v>83</v>
      </c>
      <c r="CI12">
        <v>83</v>
      </c>
      <c r="CJ12">
        <v>85</v>
      </c>
      <c r="CK12">
        <v>83</v>
      </c>
      <c r="CL12">
        <v>83</v>
      </c>
      <c r="CM12">
        <v>84</v>
      </c>
      <c r="CN12">
        <v>83</v>
      </c>
      <c r="CO12">
        <v>83</v>
      </c>
      <c r="CP12">
        <v>80</v>
      </c>
      <c r="CQ12">
        <v>83</v>
      </c>
      <c r="CR12">
        <v>20</v>
      </c>
    </row>
    <row r="13" spans="1:96">
      <c r="A13">
        <v>12</v>
      </c>
      <c r="B13" t="s">
        <v>177</v>
      </c>
      <c r="C13" t="s">
        <v>96</v>
      </c>
      <c r="D13" t="s">
        <v>109</v>
      </c>
      <c r="E13" t="s">
        <v>178</v>
      </c>
      <c r="F13">
        <v>86</v>
      </c>
      <c r="G13">
        <v>30</v>
      </c>
      <c r="H13" t="s">
        <v>177</v>
      </c>
      <c r="I13" t="s">
        <v>179</v>
      </c>
      <c r="J13">
        <v>87</v>
      </c>
      <c r="K13">
        <v>88</v>
      </c>
      <c r="L13">
        <v>77000000</v>
      </c>
      <c r="M13" t="s">
        <v>180</v>
      </c>
      <c r="N13" t="s">
        <v>109</v>
      </c>
      <c r="O13" t="s">
        <v>112</v>
      </c>
      <c r="P13" t="s">
        <v>181</v>
      </c>
      <c r="Q13">
        <v>28</v>
      </c>
      <c r="R13">
        <v>188</v>
      </c>
      <c r="S13">
        <v>78</v>
      </c>
      <c r="T13">
        <v>2165</v>
      </c>
      <c r="U13">
        <v>459</v>
      </c>
      <c r="V13" t="s">
        <v>182</v>
      </c>
      <c r="W13">
        <v>185000</v>
      </c>
      <c r="X13">
        <v>148200000</v>
      </c>
      <c r="Y13" t="s">
        <v>109</v>
      </c>
      <c r="Z13">
        <v>2026</v>
      </c>
      <c r="AA13">
        <v>3</v>
      </c>
      <c r="AB13">
        <v>2018</v>
      </c>
      <c r="AC13" t="s">
        <v>103</v>
      </c>
      <c r="AD13" t="s">
        <v>104</v>
      </c>
      <c r="AE13">
        <v>2</v>
      </c>
      <c r="AF13">
        <v>3</v>
      </c>
      <c r="AG13">
        <v>3</v>
      </c>
      <c r="AH13" t="s">
        <v>103</v>
      </c>
      <c r="AI13" t="s">
        <v>115</v>
      </c>
      <c r="AJ13" t="s">
        <v>103</v>
      </c>
      <c r="AK13" t="s">
        <v>103</v>
      </c>
      <c r="AL13" t="s">
        <v>116</v>
      </c>
      <c r="AM13" t="s">
        <v>107</v>
      </c>
      <c r="AN13">
        <v>66</v>
      </c>
      <c r="AO13">
        <v>69</v>
      </c>
      <c r="AP13">
        <v>78</v>
      </c>
      <c r="AQ13">
        <v>77</v>
      </c>
      <c r="AR13">
        <v>86</v>
      </c>
      <c r="AS13">
        <v>83</v>
      </c>
      <c r="AT13">
        <v>75</v>
      </c>
      <c r="AU13">
        <v>63</v>
      </c>
      <c r="AV13">
        <v>75</v>
      </c>
      <c r="AW13">
        <v>84</v>
      </c>
      <c r="AX13">
        <v>47</v>
      </c>
      <c r="AY13">
        <v>78</v>
      </c>
      <c r="AZ13">
        <v>71</v>
      </c>
      <c r="BA13">
        <v>53</v>
      </c>
      <c r="BB13">
        <v>82</v>
      </c>
      <c r="BC13">
        <v>81</v>
      </c>
      <c r="BD13">
        <v>64</v>
      </c>
      <c r="BE13">
        <v>68</v>
      </c>
      <c r="BF13">
        <v>63</v>
      </c>
      <c r="BG13">
        <v>86</v>
      </c>
      <c r="BH13">
        <v>64</v>
      </c>
      <c r="BI13">
        <v>81</v>
      </c>
      <c r="BJ13">
        <v>75</v>
      </c>
      <c r="BK13">
        <v>88</v>
      </c>
      <c r="BL13">
        <v>81</v>
      </c>
      <c r="BM13">
        <v>70</v>
      </c>
      <c r="BN13">
        <v>85</v>
      </c>
      <c r="BO13">
        <v>88</v>
      </c>
      <c r="BP13">
        <v>70</v>
      </c>
      <c r="BQ13">
        <v>76</v>
      </c>
      <c r="BR13">
        <v>90</v>
      </c>
      <c r="BS13">
        <v>85</v>
      </c>
      <c r="BT13">
        <v>86</v>
      </c>
      <c r="BU13">
        <v>88</v>
      </c>
      <c r="BV13">
        <v>86</v>
      </c>
      <c r="BW13">
        <v>13</v>
      </c>
      <c r="BX13">
        <v>12</v>
      </c>
      <c r="BY13">
        <v>6</v>
      </c>
      <c r="BZ13">
        <v>8</v>
      </c>
      <c r="CA13">
        <v>8</v>
      </c>
      <c r="CB13">
        <v>77</v>
      </c>
      <c r="CC13">
        <v>75</v>
      </c>
      <c r="CD13">
        <v>75</v>
      </c>
      <c r="CE13">
        <v>75</v>
      </c>
      <c r="CF13">
        <v>75</v>
      </c>
      <c r="CG13">
        <v>75</v>
      </c>
      <c r="CH13">
        <v>79</v>
      </c>
      <c r="CI13">
        <v>80</v>
      </c>
      <c r="CJ13">
        <v>84</v>
      </c>
      <c r="CK13">
        <v>80</v>
      </c>
      <c r="CL13">
        <v>85</v>
      </c>
      <c r="CM13">
        <v>88</v>
      </c>
      <c r="CN13">
        <v>85</v>
      </c>
      <c r="CO13">
        <v>85</v>
      </c>
      <c r="CP13">
        <v>87</v>
      </c>
      <c r="CQ13">
        <v>85</v>
      </c>
      <c r="CR13">
        <v>21</v>
      </c>
    </row>
    <row r="14" spans="1:96">
      <c r="A14">
        <v>13</v>
      </c>
      <c r="B14" t="s">
        <v>183</v>
      </c>
      <c r="C14" t="s">
        <v>96</v>
      </c>
      <c r="D14" t="s">
        <v>97</v>
      </c>
      <c r="E14" t="s">
        <v>184</v>
      </c>
      <c r="F14">
        <v>86</v>
      </c>
      <c r="G14">
        <v>30</v>
      </c>
      <c r="H14" t="s">
        <v>185</v>
      </c>
      <c r="I14" t="s">
        <v>183</v>
      </c>
      <c r="J14">
        <v>86</v>
      </c>
      <c r="K14">
        <v>89</v>
      </c>
      <c r="L14">
        <v>89500000</v>
      </c>
      <c r="M14" t="s">
        <v>97</v>
      </c>
      <c r="N14" t="s">
        <v>97</v>
      </c>
      <c r="O14" t="s">
        <v>156</v>
      </c>
      <c r="P14" t="s">
        <v>186</v>
      </c>
      <c r="Q14">
        <v>25</v>
      </c>
      <c r="R14">
        <v>172</v>
      </c>
      <c r="S14">
        <v>68</v>
      </c>
      <c r="T14">
        <v>2296</v>
      </c>
      <c r="U14">
        <v>480</v>
      </c>
      <c r="V14" t="s">
        <v>187</v>
      </c>
      <c r="W14">
        <v>110000</v>
      </c>
      <c r="X14">
        <v>154400000</v>
      </c>
      <c r="Y14" t="s">
        <v>97</v>
      </c>
      <c r="Z14">
        <v>2026</v>
      </c>
      <c r="AA14">
        <v>23</v>
      </c>
      <c r="AB14">
        <v>2020</v>
      </c>
      <c r="AC14" t="s">
        <v>103</v>
      </c>
      <c r="AD14" t="s">
        <v>104</v>
      </c>
      <c r="AE14">
        <v>3</v>
      </c>
      <c r="AF14">
        <v>3</v>
      </c>
      <c r="AG14">
        <v>3</v>
      </c>
      <c r="AH14" t="s">
        <v>156</v>
      </c>
      <c r="AI14" t="s">
        <v>159</v>
      </c>
      <c r="AJ14" t="s">
        <v>97</v>
      </c>
      <c r="AK14">
        <v>18</v>
      </c>
      <c r="AL14" t="s">
        <v>107</v>
      </c>
      <c r="AM14" t="s">
        <v>107</v>
      </c>
      <c r="AN14">
        <v>79</v>
      </c>
      <c r="AO14">
        <v>76</v>
      </c>
      <c r="AP14">
        <v>83</v>
      </c>
      <c r="AQ14">
        <v>84</v>
      </c>
      <c r="AR14">
        <v>77</v>
      </c>
      <c r="AS14">
        <v>81</v>
      </c>
      <c r="AT14">
        <v>79</v>
      </c>
      <c r="AU14">
        <v>73</v>
      </c>
      <c r="AV14">
        <v>53</v>
      </c>
      <c r="AW14">
        <v>86</v>
      </c>
      <c r="AX14">
        <v>80</v>
      </c>
      <c r="AY14">
        <v>80</v>
      </c>
      <c r="AZ14">
        <v>79</v>
      </c>
      <c r="BA14">
        <v>67</v>
      </c>
      <c r="BB14">
        <v>85</v>
      </c>
      <c r="BC14">
        <v>87</v>
      </c>
      <c r="BD14">
        <v>80</v>
      </c>
      <c r="BE14">
        <v>78</v>
      </c>
      <c r="BF14">
        <v>90</v>
      </c>
      <c r="BG14">
        <v>88</v>
      </c>
      <c r="BH14">
        <v>90</v>
      </c>
      <c r="BI14">
        <v>77</v>
      </c>
      <c r="BJ14">
        <v>78</v>
      </c>
      <c r="BK14">
        <v>94</v>
      </c>
      <c r="BL14">
        <v>73</v>
      </c>
      <c r="BM14">
        <v>79</v>
      </c>
      <c r="BN14">
        <v>84</v>
      </c>
      <c r="BO14">
        <v>83</v>
      </c>
      <c r="BP14">
        <v>81</v>
      </c>
      <c r="BQ14">
        <v>86</v>
      </c>
      <c r="BR14">
        <v>73</v>
      </c>
      <c r="BS14">
        <v>86</v>
      </c>
      <c r="BT14">
        <v>79</v>
      </c>
      <c r="BU14">
        <v>79</v>
      </c>
      <c r="BV14">
        <v>81</v>
      </c>
      <c r="BW14">
        <v>11</v>
      </c>
      <c r="BX14">
        <v>5</v>
      </c>
      <c r="BY14">
        <v>13</v>
      </c>
      <c r="BZ14">
        <v>14</v>
      </c>
      <c r="CA14">
        <v>11</v>
      </c>
      <c r="CB14">
        <v>80</v>
      </c>
      <c r="CC14">
        <v>82</v>
      </c>
      <c r="CD14">
        <v>81</v>
      </c>
      <c r="CE14">
        <v>81</v>
      </c>
      <c r="CF14">
        <v>81</v>
      </c>
      <c r="CG14">
        <v>82</v>
      </c>
      <c r="CH14">
        <v>86</v>
      </c>
      <c r="CI14">
        <v>86</v>
      </c>
      <c r="CJ14">
        <v>88</v>
      </c>
      <c r="CK14">
        <v>86</v>
      </c>
      <c r="CL14">
        <v>86</v>
      </c>
      <c r="CM14">
        <v>87</v>
      </c>
      <c r="CN14">
        <v>86</v>
      </c>
      <c r="CO14">
        <v>85</v>
      </c>
      <c r="CP14">
        <v>81</v>
      </c>
      <c r="CQ14">
        <v>85</v>
      </c>
      <c r="CR14">
        <v>22</v>
      </c>
    </row>
    <row r="15" spans="1:96">
      <c r="A15">
        <v>14</v>
      </c>
      <c r="B15" t="s">
        <v>188</v>
      </c>
      <c r="C15" t="s">
        <v>96</v>
      </c>
      <c r="D15" t="s">
        <v>97</v>
      </c>
      <c r="E15" t="s">
        <v>189</v>
      </c>
      <c r="F15">
        <v>86</v>
      </c>
      <c r="G15">
        <v>30</v>
      </c>
      <c r="H15" t="s">
        <v>190</v>
      </c>
      <c r="I15" t="s">
        <v>191</v>
      </c>
      <c r="J15">
        <v>73</v>
      </c>
      <c r="K15">
        <v>77</v>
      </c>
      <c r="L15">
        <v>3300000</v>
      </c>
      <c r="M15" t="s">
        <v>192</v>
      </c>
      <c r="N15" t="s">
        <v>192</v>
      </c>
      <c r="O15" t="s">
        <v>193</v>
      </c>
      <c r="P15" t="s">
        <v>194</v>
      </c>
      <c r="Q15">
        <v>25</v>
      </c>
      <c r="R15">
        <v>202</v>
      </c>
      <c r="S15">
        <v>90</v>
      </c>
      <c r="T15">
        <v>1330</v>
      </c>
      <c r="U15">
        <v>412</v>
      </c>
      <c r="V15" t="s">
        <v>195</v>
      </c>
      <c r="W15">
        <v>22000</v>
      </c>
      <c r="X15">
        <v>6200000</v>
      </c>
      <c r="Y15" t="s">
        <v>192</v>
      </c>
      <c r="Z15">
        <v>2024</v>
      </c>
      <c r="AA15">
        <v>32</v>
      </c>
      <c r="AB15">
        <v>2017</v>
      </c>
      <c r="AC15" t="s">
        <v>103</v>
      </c>
      <c r="AD15" t="s">
        <v>104</v>
      </c>
      <c r="AE15">
        <v>3</v>
      </c>
      <c r="AF15">
        <v>1</v>
      </c>
      <c r="AG15">
        <v>1</v>
      </c>
      <c r="AH15" t="s">
        <v>103</v>
      </c>
      <c r="AI15" t="s">
        <v>103</v>
      </c>
      <c r="AJ15" t="s">
        <v>103</v>
      </c>
      <c r="AK15" t="s">
        <v>103</v>
      </c>
      <c r="AL15" t="s">
        <v>116</v>
      </c>
      <c r="AM15" t="s">
        <v>116</v>
      </c>
      <c r="AN15">
        <v>73</v>
      </c>
      <c r="AO15">
        <v>71</v>
      </c>
      <c r="AP15">
        <v>78</v>
      </c>
      <c r="AQ15">
        <v>73</v>
      </c>
      <c r="AR15">
        <v>43</v>
      </c>
      <c r="AS15">
        <v>74</v>
      </c>
      <c r="AT15">
        <v>18</v>
      </c>
      <c r="AU15">
        <v>20</v>
      </c>
      <c r="AV15">
        <v>12</v>
      </c>
      <c r="AW15">
        <v>31</v>
      </c>
      <c r="AX15">
        <v>16</v>
      </c>
      <c r="AY15">
        <v>15</v>
      </c>
      <c r="AZ15">
        <v>55</v>
      </c>
      <c r="BA15">
        <v>59</v>
      </c>
      <c r="BB15">
        <v>30</v>
      </c>
      <c r="BC15">
        <v>18</v>
      </c>
      <c r="BD15">
        <v>41</v>
      </c>
      <c r="BE15">
        <v>45</v>
      </c>
      <c r="BF15">
        <v>38</v>
      </c>
      <c r="BG15">
        <v>63</v>
      </c>
      <c r="BH15">
        <v>38</v>
      </c>
      <c r="BI15">
        <v>59</v>
      </c>
      <c r="BJ15">
        <v>58</v>
      </c>
      <c r="BK15">
        <v>33</v>
      </c>
      <c r="BL15">
        <v>73</v>
      </c>
      <c r="BM15">
        <v>45</v>
      </c>
      <c r="BN15">
        <v>34</v>
      </c>
      <c r="BO15">
        <v>21</v>
      </c>
      <c r="BP15">
        <v>12</v>
      </c>
      <c r="BQ15">
        <v>58</v>
      </c>
      <c r="BR15">
        <v>24</v>
      </c>
      <c r="BS15">
        <v>65</v>
      </c>
      <c r="BT15">
        <v>11</v>
      </c>
      <c r="BU15">
        <v>15</v>
      </c>
      <c r="BV15">
        <v>19</v>
      </c>
      <c r="BW15">
        <v>73</v>
      </c>
      <c r="BX15">
        <v>71</v>
      </c>
      <c r="BY15">
        <v>78</v>
      </c>
      <c r="BZ15">
        <v>74</v>
      </c>
      <c r="CA15">
        <v>73</v>
      </c>
      <c r="CB15">
        <v>33</v>
      </c>
      <c r="CC15">
        <v>29</v>
      </c>
      <c r="CD15">
        <v>31</v>
      </c>
      <c r="CE15">
        <v>31</v>
      </c>
      <c r="CF15">
        <v>31</v>
      </c>
      <c r="CG15">
        <v>29</v>
      </c>
      <c r="CH15">
        <v>34</v>
      </c>
      <c r="CI15">
        <v>31</v>
      </c>
      <c r="CJ15">
        <v>34</v>
      </c>
      <c r="CK15">
        <v>31</v>
      </c>
      <c r="CL15">
        <v>29</v>
      </c>
      <c r="CM15">
        <v>31</v>
      </c>
      <c r="CN15">
        <v>29</v>
      </c>
      <c r="CO15">
        <v>28</v>
      </c>
      <c r="CP15">
        <v>30</v>
      </c>
      <c r="CQ15">
        <v>28</v>
      </c>
      <c r="CR15">
        <v>74</v>
      </c>
    </row>
    <row r="16" spans="1:96">
      <c r="A16">
        <v>15</v>
      </c>
      <c r="B16" t="s">
        <v>196</v>
      </c>
      <c r="C16" t="s">
        <v>96</v>
      </c>
      <c r="D16" t="s">
        <v>109</v>
      </c>
      <c r="E16" t="s">
        <v>182</v>
      </c>
      <c r="F16">
        <v>86</v>
      </c>
      <c r="G16">
        <v>30</v>
      </c>
      <c r="H16" t="s">
        <v>197</v>
      </c>
      <c r="I16" t="s">
        <v>198</v>
      </c>
      <c r="J16">
        <v>86</v>
      </c>
      <c r="K16">
        <v>86</v>
      </c>
      <c r="L16">
        <v>55500000</v>
      </c>
      <c r="M16" t="s">
        <v>97</v>
      </c>
      <c r="N16" t="s">
        <v>97</v>
      </c>
      <c r="O16" t="s">
        <v>199</v>
      </c>
      <c r="P16" t="s">
        <v>200</v>
      </c>
      <c r="Q16">
        <v>31</v>
      </c>
      <c r="R16">
        <v>174</v>
      </c>
      <c r="S16">
        <v>70</v>
      </c>
      <c r="T16">
        <v>2225</v>
      </c>
      <c r="U16">
        <v>451</v>
      </c>
      <c r="V16" t="s">
        <v>182</v>
      </c>
      <c r="W16">
        <v>180000</v>
      </c>
      <c r="X16">
        <v>102700000</v>
      </c>
      <c r="Y16" t="s">
        <v>97</v>
      </c>
      <c r="Z16">
        <v>2024</v>
      </c>
      <c r="AA16">
        <v>6</v>
      </c>
      <c r="AB16">
        <v>2020</v>
      </c>
      <c r="AC16" t="s">
        <v>103</v>
      </c>
      <c r="AD16" t="s">
        <v>104</v>
      </c>
      <c r="AE16">
        <v>3</v>
      </c>
      <c r="AF16">
        <v>5</v>
      </c>
      <c r="AG16">
        <v>3</v>
      </c>
      <c r="AH16" t="s">
        <v>103</v>
      </c>
      <c r="AI16" t="s">
        <v>201</v>
      </c>
      <c r="AJ16" t="s">
        <v>103</v>
      </c>
      <c r="AK16" t="s">
        <v>103</v>
      </c>
      <c r="AL16" t="s">
        <v>116</v>
      </c>
      <c r="AM16" t="s">
        <v>116</v>
      </c>
      <c r="AN16">
        <v>61</v>
      </c>
      <c r="AO16">
        <v>72</v>
      </c>
      <c r="AP16">
        <v>87</v>
      </c>
      <c r="AQ16">
        <v>90</v>
      </c>
      <c r="AR16">
        <v>72</v>
      </c>
      <c r="AS16">
        <v>69</v>
      </c>
      <c r="AT16">
        <v>78</v>
      </c>
      <c r="AU16">
        <v>68</v>
      </c>
      <c r="AV16">
        <v>54</v>
      </c>
      <c r="AW16">
        <v>91</v>
      </c>
      <c r="AX16">
        <v>82</v>
      </c>
      <c r="AY16">
        <v>89</v>
      </c>
      <c r="AZ16">
        <v>85</v>
      </c>
      <c r="BA16">
        <v>77</v>
      </c>
      <c r="BB16">
        <v>89</v>
      </c>
      <c r="BC16">
        <v>92</v>
      </c>
      <c r="BD16">
        <v>69</v>
      </c>
      <c r="BE16">
        <v>55</v>
      </c>
      <c r="BF16">
        <v>90</v>
      </c>
      <c r="BG16">
        <v>84</v>
      </c>
      <c r="BH16">
        <v>90</v>
      </c>
      <c r="BI16">
        <v>75</v>
      </c>
      <c r="BJ16">
        <v>86</v>
      </c>
      <c r="BK16">
        <v>76</v>
      </c>
      <c r="BL16">
        <v>60</v>
      </c>
      <c r="BM16">
        <v>73</v>
      </c>
      <c r="BN16">
        <v>80</v>
      </c>
      <c r="BO16">
        <v>82</v>
      </c>
      <c r="BP16">
        <v>75</v>
      </c>
      <c r="BQ16">
        <v>88</v>
      </c>
      <c r="BR16">
        <v>75</v>
      </c>
      <c r="BS16">
        <v>90</v>
      </c>
      <c r="BT16">
        <v>68</v>
      </c>
      <c r="BU16">
        <v>74</v>
      </c>
      <c r="BV16">
        <v>74</v>
      </c>
      <c r="BW16">
        <v>6</v>
      </c>
      <c r="BX16">
        <v>11</v>
      </c>
      <c r="BY16">
        <v>7</v>
      </c>
      <c r="BZ16">
        <v>9</v>
      </c>
      <c r="CA16">
        <v>13</v>
      </c>
      <c r="CB16">
        <v>77</v>
      </c>
      <c r="CC16">
        <v>81</v>
      </c>
      <c r="CD16">
        <v>80</v>
      </c>
      <c r="CE16">
        <v>80</v>
      </c>
      <c r="CF16">
        <v>80</v>
      </c>
      <c r="CG16">
        <v>81</v>
      </c>
      <c r="CH16">
        <v>86</v>
      </c>
      <c r="CI16">
        <v>85</v>
      </c>
      <c r="CJ16">
        <v>86</v>
      </c>
      <c r="CK16">
        <v>85</v>
      </c>
      <c r="CL16">
        <v>81</v>
      </c>
      <c r="CM16">
        <v>84</v>
      </c>
      <c r="CN16">
        <v>81</v>
      </c>
      <c r="CO16">
        <v>79</v>
      </c>
      <c r="CP16">
        <v>76</v>
      </c>
      <c r="CQ16">
        <v>79</v>
      </c>
      <c r="CR16">
        <v>21</v>
      </c>
    </row>
    <row r="17" spans="1:96">
      <c r="A17">
        <v>16</v>
      </c>
      <c r="B17" t="s">
        <v>202</v>
      </c>
      <c r="C17" t="s">
        <v>96</v>
      </c>
      <c r="D17" t="s">
        <v>97</v>
      </c>
      <c r="E17" t="s">
        <v>147</v>
      </c>
      <c r="F17">
        <v>85</v>
      </c>
      <c r="G17">
        <v>30</v>
      </c>
      <c r="H17" t="s">
        <v>203</v>
      </c>
      <c r="I17" t="s">
        <v>204</v>
      </c>
      <c r="J17">
        <v>87</v>
      </c>
      <c r="K17">
        <v>87</v>
      </c>
      <c r="L17">
        <v>63000000</v>
      </c>
      <c r="M17" t="s">
        <v>205</v>
      </c>
      <c r="N17" t="s">
        <v>133</v>
      </c>
      <c r="O17" t="s">
        <v>127</v>
      </c>
      <c r="P17" t="s">
        <v>206</v>
      </c>
      <c r="Q17">
        <v>32</v>
      </c>
      <c r="R17">
        <v>185</v>
      </c>
      <c r="S17">
        <v>76</v>
      </c>
      <c r="T17">
        <v>2140</v>
      </c>
      <c r="U17">
        <v>443</v>
      </c>
      <c r="V17" t="s">
        <v>151</v>
      </c>
      <c r="W17">
        <v>115000</v>
      </c>
      <c r="X17">
        <v>104000000</v>
      </c>
      <c r="Y17" t="s">
        <v>133</v>
      </c>
      <c r="Z17">
        <v>2024</v>
      </c>
      <c r="AA17">
        <v>25</v>
      </c>
      <c r="AB17">
        <v>2008</v>
      </c>
      <c r="AC17" t="s">
        <v>103</v>
      </c>
      <c r="AD17" t="s">
        <v>104</v>
      </c>
      <c r="AE17">
        <v>4</v>
      </c>
      <c r="AF17">
        <v>3</v>
      </c>
      <c r="AG17">
        <v>4</v>
      </c>
      <c r="AH17" t="s">
        <v>127</v>
      </c>
      <c r="AI17" t="s">
        <v>129</v>
      </c>
      <c r="AJ17" t="s">
        <v>133</v>
      </c>
      <c r="AK17">
        <v>13</v>
      </c>
      <c r="AL17" t="s">
        <v>107</v>
      </c>
      <c r="AM17" t="s">
        <v>107</v>
      </c>
      <c r="AN17">
        <v>69</v>
      </c>
      <c r="AO17">
        <v>84</v>
      </c>
      <c r="AP17">
        <v>83</v>
      </c>
      <c r="AQ17">
        <v>80</v>
      </c>
      <c r="AR17">
        <v>56</v>
      </c>
      <c r="AS17">
        <v>71</v>
      </c>
      <c r="AT17">
        <v>85</v>
      </c>
      <c r="AU17">
        <v>88</v>
      </c>
      <c r="AV17">
        <v>81</v>
      </c>
      <c r="AW17">
        <v>85</v>
      </c>
      <c r="AX17">
        <v>84</v>
      </c>
      <c r="AY17">
        <v>77</v>
      </c>
      <c r="AZ17">
        <v>81</v>
      </c>
      <c r="BA17">
        <v>59</v>
      </c>
      <c r="BB17">
        <v>79</v>
      </c>
      <c r="BC17">
        <v>84</v>
      </c>
      <c r="BD17">
        <v>66</v>
      </c>
      <c r="BE17">
        <v>71</v>
      </c>
      <c r="BF17">
        <v>72</v>
      </c>
      <c r="BG17">
        <v>94</v>
      </c>
      <c r="BH17">
        <v>71</v>
      </c>
      <c r="BI17">
        <v>78</v>
      </c>
      <c r="BJ17">
        <v>77</v>
      </c>
      <c r="BK17">
        <v>86</v>
      </c>
      <c r="BL17">
        <v>66</v>
      </c>
      <c r="BM17">
        <v>82</v>
      </c>
      <c r="BN17">
        <v>62</v>
      </c>
      <c r="BO17">
        <v>58</v>
      </c>
      <c r="BP17">
        <v>96</v>
      </c>
      <c r="BQ17">
        <v>86</v>
      </c>
      <c r="BR17">
        <v>70</v>
      </c>
      <c r="BS17">
        <v>84</v>
      </c>
      <c r="BT17">
        <v>47</v>
      </c>
      <c r="BU17">
        <v>57</v>
      </c>
      <c r="BV17">
        <v>46</v>
      </c>
      <c r="BW17">
        <v>6</v>
      </c>
      <c r="BX17">
        <v>7</v>
      </c>
      <c r="BY17">
        <v>11</v>
      </c>
      <c r="BZ17">
        <v>14</v>
      </c>
      <c r="CA17">
        <v>14</v>
      </c>
      <c r="CB17">
        <v>86</v>
      </c>
      <c r="CC17">
        <v>83</v>
      </c>
      <c r="CD17">
        <v>84</v>
      </c>
      <c r="CE17">
        <v>84</v>
      </c>
      <c r="CF17">
        <v>84</v>
      </c>
      <c r="CG17">
        <v>83</v>
      </c>
      <c r="CH17">
        <v>87</v>
      </c>
      <c r="CI17">
        <v>86</v>
      </c>
      <c r="CJ17">
        <v>85</v>
      </c>
      <c r="CK17">
        <v>86</v>
      </c>
      <c r="CL17">
        <v>74</v>
      </c>
      <c r="CM17">
        <v>74</v>
      </c>
      <c r="CN17">
        <v>74</v>
      </c>
      <c r="CO17">
        <v>72</v>
      </c>
      <c r="CP17">
        <v>66</v>
      </c>
      <c r="CQ17">
        <v>72</v>
      </c>
      <c r="CR17">
        <v>23</v>
      </c>
    </row>
    <row r="18" spans="1:96">
      <c r="A18">
        <v>17</v>
      </c>
      <c r="B18" t="s">
        <v>207</v>
      </c>
      <c r="C18" t="s">
        <v>96</v>
      </c>
      <c r="D18" t="s">
        <v>97</v>
      </c>
      <c r="E18" t="s">
        <v>140</v>
      </c>
      <c r="F18">
        <v>85</v>
      </c>
      <c r="G18">
        <v>30</v>
      </c>
      <c r="H18" t="s">
        <v>208</v>
      </c>
      <c r="I18" t="s">
        <v>209</v>
      </c>
      <c r="J18">
        <v>85</v>
      </c>
      <c r="K18">
        <v>85</v>
      </c>
      <c r="L18">
        <v>44000000</v>
      </c>
      <c r="M18" t="s">
        <v>149</v>
      </c>
      <c r="N18" t="s">
        <v>97</v>
      </c>
      <c r="O18" t="s">
        <v>127</v>
      </c>
      <c r="P18" t="s">
        <v>210</v>
      </c>
      <c r="Q18">
        <v>31</v>
      </c>
      <c r="R18">
        <v>180</v>
      </c>
      <c r="S18">
        <v>80</v>
      </c>
      <c r="T18">
        <v>2195</v>
      </c>
      <c r="U18">
        <v>458</v>
      </c>
      <c r="V18" t="s">
        <v>98</v>
      </c>
      <c r="W18">
        <v>185000</v>
      </c>
      <c r="X18">
        <v>81400000</v>
      </c>
      <c r="Y18" t="s">
        <v>97</v>
      </c>
      <c r="Z18">
        <v>2023</v>
      </c>
      <c r="AA18">
        <v>8</v>
      </c>
      <c r="AB18">
        <v>2016</v>
      </c>
      <c r="AC18" t="s">
        <v>103</v>
      </c>
      <c r="AD18" t="s">
        <v>104</v>
      </c>
      <c r="AE18">
        <v>4</v>
      </c>
      <c r="AF18">
        <v>4</v>
      </c>
      <c r="AG18">
        <v>3</v>
      </c>
      <c r="AH18" t="s">
        <v>127</v>
      </c>
      <c r="AI18" t="s">
        <v>129</v>
      </c>
      <c r="AJ18" t="s">
        <v>109</v>
      </c>
      <c r="AK18">
        <v>21</v>
      </c>
      <c r="AL18" t="s">
        <v>107</v>
      </c>
      <c r="AM18" t="s">
        <v>116</v>
      </c>
      <c r="AN18">
        <v>64</v>
      </c>
      <c r="AO18">
        <v>80</v>
      </c>
      <c r="AP18">
        <v>85</v>
      </c>
      <c r="AQ18">
        <v>85</v>
      </c>
      <c r="AR18">
        <v>72</v>
      </c>
      <c r="AS18">
        <v>72</v>
      </c>
      <c r="AT18">
        <v>78</v>
      </c>
      <c r="AU18">
        <v>81</v>
      </c>
      <c r="AV18">
        <v>50</v>
      </c>
      <c r="AW18">
        <v>88</v>
      </c>
      <c r="AX18">
        <v>75</v>
      </c>
      <c r="AY18">
        <v>85</v>
      </c>
      <c r="AZ18">
        <v>86</v>
      </c>
      <c r="BA18">
        <v>80</v>
      </c>
      <c r="BB18">
        <v>85</v>
      </c>
      <c r="BC18">
        <v>90</v>
      </c>
      <c r="BD18">
        <v>66</v>
      </c>
      <c r="BE18">
        <v>63</v>
      </c>
      <c r="BF18">
        <v>77</v>
      </c>
      <c r="BG18">
        <v>86</v>
      </c>
      <c r="BH18">
        <v>77</v>
      </c>
      <c r="BI18">
        <v>79</v>
      </c>
      <c r="BJ18">
        <v>61</v>
      </c>
      <c r="BK18">
        <v>74</v>
      </c>
      <c r="BL18">
        <v>73</v>
      </c>
      <c r="BM18">
        <v>81</v>
      </c>
      <c r="BN18">
        <v>70</v>
      </c>
      <c r="BO18">
        <v>75</v>
      </c>
      <c r="BP18">
        <v>83</v>
      </c>
      <c r="BQ18">
        <v>86</v>
      </c>
      <c r="BR18">
        <v>80</v>
      </c>
      <c r="BS18">
        <v>87</v>
      </c>
      <c r="BT18">
        <v>76</v>
      </c>
      <c r="BU18">
        <v>75</v>
      </c>
      <c r="BV18">
        <v>67</v>
      </c>
      <c r="BW18">
        <v>11</v>
      </c>
      <c r="BX18">
        <v>14</v>
      </c>
      <c r="BY18">
        <v>5</v>
      </c>
      <c r="BZ18">
        <v>5</v>
      </c>
      <c r="CA18">
        <v>13</v>
      </c>
      <c r="CB18">
        <v>81</v>
      </c>
      <c r="CC18">
        <v>82</v>
      </c>
      <c r="CD18">
        <v>82</v>
      </c>
      <c r="CE18">
        <v>82</v>
      </c>
      <c r="CF18">
        <v>82</v>
      </c>
      <c r="CG18">
        <v>82</v>
      </c>
      <c r="CH18">
        <v>85</v>
      </c>
      <c r="CI18">
        <v>85</v>
      </c>
      <c r="CJ18">
        <v>85</v>
      </c>
      <c r="CK18">
        <v>85</v>
      </c>
      <c r="CL18">
        <v>80</v>
      </c>
      <c r="CM18">
        <v>83</v>
      </c>
      <c r="CN18">
        <v>80</v>
      </c>
      <c r="CO18">
        <v>78</v>
      </c>
      <c r="CP18">
        <v>75</v>
      </c>
      <c r="CQ18">
        <v>78</v>
      </c>
      <c r="CR18">
        <v>22</v>
      </c>
    </row>
    <row r="19" spans="1:96">
      <c r="A19">
        <v>18</v>
      </c>
      <c r="B19" t="s">
        <v>211</v>
      </c>
      <c r="C19" t="s">
        <v>96</v>
      </c>
      <c r="D19" t="s">
        <v>97</v>
      </c>
      <c r="E19" t="s">
        <v>212</v>
      </c>
      <c r="F19">
        <v>85</v>
      </c>
      <c r="G19">
        <v>30</v>
      </c>
      <c r="H19" t="s">
        <v>213</v>
      </c>
      <c r="I19" t="s">
        <v>211</v>
      </c>
      <c r="J19">
        <v>85</v>
      </c>
      <c r="K19">
        <v>85</v>
      </c>
      <c r="L19">
        <v>33500000</v>
      </c>
      <c r="M19" t="s">
        <v>214</v>
      </c>
      <c r="N19" t="s">
        <v>133</v>
      </c>
      <c r="O19" t="s">
        <v>127</v>
      </c>
      <c r="P19" t="s">
        <v>215</v>
      </c>
      <c r="Q19">
        <v>33</v>
      </c>
      <c r="R19">
        <v>180</v>
      </c>
      <c r="S19">
        <v>71</v>
      </c>
      <c r="T19">
        <v>2154</v>
      </c>
      <c r="U19">
        <v>441</v>
      </c>
      <c r="V19" t="s">
        <v>169</v>
      </c>
      <c r="W19">
        <v>78000</v>
      </c>
      <c r="X19">
        <v>57000000</v>
      </c>
      <c r="Y19" t="s">
        <v>133</v>
      </c>
      <c r="Z19">
        <v>2023</v>
      </c>
      <c r="AA19">
        <v>11</v>
      </c>
      <c r="AB19">
        <v>2012</v>
      </c>
      <c r="AC19" t="s">
        <v>103</v>
      </c>
      <c r="AD19" t="s">
        <v>104</v>
      </c>
      <c r="AE19">
        <v>4</v>
      </c>
      <c r="AF19">
        <v>4</v>
      </c>
      <c r="AG19">
        <v>4</v>
      </c>
      <c r="AH19" t="s">
        <v>127</v>
      </c>
      <c r="AI19" t="s">
        <v>129</v>
      </c>
      <c r="AJ19" t="s">
        <v>114</v>
      </c>
      <c r="AK19">
        <v>11</v>
      </c>
      <c r="AL19" t="s">
        <v>107</v>
      </c>
      <c r="AM19" t="s">
        <v>116</v>
      </c>
      <c r="AN19">
        <v>70</v>
      </c>
      <c r="AO19">
        <v>84</v>
      </c>
      <c r="AP19">
        <v>84</v>
      </c>
      <c r="AQ19">
        <v>85</v>
      </c>
      <c r="AR19">
        <v>53</v>
      </c>
      <c r="AS19">
        <v>65</v>
      </c>
      <c r="AT19">
        <v>84</v>
      </c>
      <c r="AU19">
        <v>84</v>
      </c>
      <c r="AV19">
        <v>44</v>
      </c>
      <c r="AW19">
        <v>85</v>
      </c>
      <c r="AX19">
        <v>87</v>
      </c>
      <c r="AY19">
        <v>86</v>
      </c>
      <c r="AZ19">
        <v>88</v>
      </c>
      <c r="BA19">
        <v>85</v>
      </c>
      <c r="BB19">
        <v>79</v>
      </c>
      <c r="BC19">
        <v>86</v>
      </c>
      <c r="BD19">
        <v>75</v>
      </c>
      <c r="BE19">
        <v>66</v>
      </c>
      <c r="BF19">
        <v>83</v>
      </c>
      <c r="BG19">
        <v>86</v>
      </c>
      <c r="BH19">
        <v>81</v>
      </c>
      <c r="BI19">
        <v>86</v>
      </c>
      <c r="BJ19">
        <v>68</v>
      </c>
      <c r="BK19">
        <v>72</v>
      </c>
      <c r="BL19">
        <v>66</v>
      </c>
      <c r="BM19">
        <v>81</v>
      </c>
      <c r="BN19">
        <v>51</v>
      </c>
      <c r="BO19">
        <v>56</v>
      </c>
      <c r="BP19">
        <v>84</v>
      </c>
      <c r="BQ19">
        <v>86</v>
      </c>
      <c r="BR19">
        <v>79</v>
      </c>
      <c r="BS19">
        <v>86</v>
      </c>
      <c r="BT19">
        <v>59</v>
      </c>
      <c r="BU19">
        <v>47</v>
      </c>
      <c r="BV19">
        <v>59</v>
      </c>
      <c r="BW19">
        <v>12</v>
      </c>
      <c r="BX19">
        <v>12</v>
      </c>
      <c r="BY19">
        <v>13</v>
      </c>
      <c r="BZ19">
        <v>13</v>
      </c>
      <c r="CA19">
        <v>11</v>
      </c>
      <c r="CB19">
        <v>82</v>
      </c>
      <c r="CC19">
        <v>83</v>
      </c>
      <c r="CD19">
        <v>83</v>
      </c>
      <c r="CE19">
        <v>83</v>
      </c>
      <c r="CF19">
        <v>83</v>
      </c>
      <c r="CG19">
        <v>83</v>
      </c>
      <c r="CH19">
        <v>85</v>
      </c>
      <c r="CI19">
        <v>85</v>
      </c>
      <c r="CJ19">
        <v>83</v>
      </c>
      <c r="CK19">
        <v>85</v>
      </c>
      <c r="CL19">
        <v>74</v>
      </c>
      <c r="CM19">
        <v>72</v>
      </c>
      <c r="CN19">
        <v>74</v>
      </c>
      <c r="CO19">
        <v>70</v>
      </c>
      <c r="CP19">
        <v>62</v>
      </c>
      <c r="CQ19">
        <v>70</v>
      </c>
      <c r="CR19">
        <v>23</v>
      </c>
    </row>
    <row r="20" spans="1:96">
      <c r="A20">
        <v>19</v>
      </c>
      <c r="B20" t="s">
        <v>216</v>
      </c>
      <c r="C20" t="s">
        <v>96</v>
      </c>
      <c r="D20" t="s">
        <v>109</v>
      </c>
      <c r="E20" t="s">
        <v>217</v>
      </c>
      <c r="F20">
        <v>85</v>
      </c>
      <c r="G20">
        <v>30</v>
      </c>
      <c r="H20" t="s">
        <v>216</v>
      </c>
      <c r="I20" t="s">
        <v>218</v>
      </c>
      <c r="J20">
        <v>85</v>
      </c>
      <c r="K20">
        <v>85</v>
      </c>
      <c r="L20">
        <v>51500000</v>
      </c>
      <c r="M20" t="s">
        <v>97</v>
      </c>
      <c r="N20" t="s">
        <v>97</v>
      </c>
      <c r="O20" t="s">
        <v>156</v>
      </c>
      <c r="P20" t="s">
        <v>219</v>
      </c>
      <c r="Q20">
        <v>30</v>
      </c>
      <c r="R20">
        <v>180</v>
      </c>
      <c r="S20">
        <v>68</v>
      </c>
      <c r="T20">
        <v>2128</v>
      </c>
      <c r="U20">
        <v>434</v>
      </c>
      <c r="V20" t="s">
        <v>220</v>
      </c>
      <c r="W20">
        <v>165000</v>
      </c>
      <c r="X20">
        <v>95300000</v>
      </c>
      <c r="Y20" t="s">
        <v>97</v>
      </c>
      <c r="Z20">
        <v>2023</v>
      </c>
      <c r="AA20">
        <v>5</v>
      </c>
      <c r="AB20">
        <v>2018</v>
      </c>
      <c r="AC20" t="s">
        <v>103</v>
      </c>
      <c r="AD20" t="s">
        <v>104</v>
      </c>
      <c r="AE20">
        <v>3</v>
      </c>
      <c r="AF20">
        <v>3</v>
      </c>
      <c r="AG20">
        <v>2</v>
      </c>
      <c r="AH20" t="s">
        <v>156</v>
      </c>
      <c r="AI20" t="s">
        <v>159</v>
      </c>
      <c r="AJ20" t="s">
        <v>97</v>
      </c>
      <c r="AK20">
        <v>8</v>
      </c>
      <c r="AL20" t="s">
        <v>116</v>
      </c>
      <c r="AM20" t="s">
        <v>116</v>
      </c>
      <c r="AN20">
        <v>54</v>
      </c>
      <c r="AO20">
        <v>67</v>
      </c>
      <c r="AP20">
        <v>86</v>
      </c>
      <c r="AQ20">
        <v>81</v>
      </c>
      <c r="AR20">
        <v>73</v>
      </c>
      <c r="AS20">
        <v>73</v>
      </c>
      <c r="AT20">
        <v>75</v>
      </c>
      <c r="AU20">
        <v>64</v>
      </c>
      <c r="AV20">
        <v>56</v>
      </c>
      <c r="AW20">
        <v>92</v>
      </c>
      <c r="AX20">
        <v>71</v>
      </c>
      <c r="AY20">
        <v>79</v>
      </c>
      <c r="AZ20">
        <v>75</v>
      </c>
      <c r="BA20">
        <v>76</v>
      </c>
      <c r="BB20">
        <v>89</v>
      </c>
      <c r="BC20">
        <v>87</v>
      </c>
      <c r="BD20">
        <v>63</v>
      </c>
      <c r="BE20">
        <v>47</v>
      </c>
      <c r="BF20">
        <v>75</v>
      </c>
      <c r="BG20">
        <v>82</v>
      </c>
      <c r="BH20">
        <v>72</v>
      </c>
      <c r="BI20">
        <v>71</v>
      </c>
      <c r="BJ20">
        <v>58</v>
      </c>
      <c r="BK20">
        <v>87</v>
      </c>
      <c r="BL20">
        <v>66</v>
      </c>
      <c r="BM20">
        <v>62</v>
      </c>
      <c r="BN20">
        <v>79</v>
      </c>
      <c r="BO20">
        <v>81</v>
      </c>
      <c r="BP20">
        <v>69</v>
      </c>
      <c r="BQ20">
        <v>88</v>
      </c>
      <c r="BR20">
        <v>89</v>
      </c>
      <c r="BS20">
        <v>84</v>
      </c>
      <c r="BT20">
        <v>67</v>
      </c>
      <c r="BU20">
        <v>81</v>
      </c>
      <c r="BV20">
        <v>71</v>
      </c>
      <c r="BW20">
        <v>14</v>
      </c>
      <c r="BX20">
        <v>7</v>
      </c>
      <c r="BY20">
        <v>13</v>
      </c>
      <c r="BZ20">
        <v>14</v>
      </c>
      <c r="CA20">
        <v>8</v>
      </c>
      <c r="CB20">
        <v>72</v>
      </c>
      <c r="CC20">
        <v>75</v>
      </c>
      <c r="CD20">
        <v>75</v>
      </c>
      <c r="CE20">
        <v>75</v>
      </c>
      <c r="CF20">
        <v>75</v>
      </c>
      <c r="CG20">
        <v>75</v>
      </c>
      <c r="CH20">
        <v>82</v>
      </c>
      <c r="CI20">
        <v>80</v>
      </c>
      <c r="CJ20">
        <v>85</v>
      </c>
      <c r="CK20">
        <v>80</v>
      </c>
      <c r="CL20">
        <v>80</v>
      </c>
      <c r="CM20">
        <v>84</v>
      </c>
      <c r="CN20">
        <v>80</v>
      </c>
      <c r="CO20">
        <v>77</v>
      </c>
      <c r="CP20">
        <v>75</v>
      </c>
      <c r="CQ20">
        <v>77</v>
      </c>
      <c r="CR20">
        <v>21</v>
      </c>
    </row>
    <row r="21" spans="1:96">
      <c r="A21">
        <v>20</v>
      </c>
      <c r="B21" t="s">
        <v>221</v>
      </c>
      <c r="C21" t="s">
        <v>96</v>
      </c>
      <c r="D21" t="s">
        <v>97</v>
      </c>
      <c r="E21" t="s">
        <v>140</v>
      </c>
      <c r="F21">
        <v>85</v>
      </c>
      <c r="G21">
        <v>30</v>
      </c>
      <c r="H21" t="s">
        <v>221</v>
      </c>
      <c r="I21" t="s">
        <v>222</v>
      </c>
      <c r="J21">
        <v>85</v>
      </c>
      <c r="K21">
        <v>93</v>
      </c>
      <c r="L21">
        <v>116000000</v>
      </c>
      <c r="M21" t="s">
        <v>97</v>
      </c>
      <c r="N21" t="s">
        <v>97</v>
      </c>
      <c r="O21" t="s">
        <v>199</v>
      </c>
      <c r="P21" t="s">
        <v>223</v>
      </c>
      <c r="Q21">
        <v>19</v>
      </c>
      <c r="R21">
        <v>174</v>
      </c>
      <c r="S21">
        <v>61</v>
      </c>
      <c r="T21">
        <v>2109</v>
      </c>
      <c r="U21">
        <v>455</v>
      </c>
      <c r="V21" t="s">
        <v>144</v>
      </c>
      <c r="W21">
        <v>115000</v>
      </c>
      <c r="X21">
        <v>261000000</v>
      </c>
      <c r="Y21" t="s">
        <v>97</v>
      </c>
      <c r="Z21">
        <v>2026</v>
      </c>
      <c r="AA21">
        <v>8</v>
      </c>
      <c r="AB21">
        <v>2020</v>
      </c>
      <c r="AC21" t="s">
        <v>103</v>
      </c>
      <c r="AD21" t="s">
        <v>104</v>
      </c>
      <c r="AE21">
        <v>4</v>
      </c>
      <c r="AF21">
        <v>4</v>
      </c>
      <c r="AG21">
        <v>2</v>
      </c>
      <c r="AH21" t="s">
        <v>199</v>
      </c>
      <c r="AI21" t="s">
        <v>201</v>
      </c>
      <c r="AJ21" t="s">
        <v>97</v>
      </c>
      <c r="AK21">
        <v>10</v>
      </c>
      <c r="AL21" t="s">
        <v>107</v>
      </c>
      <c r="AM21" t="s">
        <v>107</v>
      </c>
      <c r="AN21">
        <v>79</v>
      </c>
      <c r="AO21">
        <v>67</v>
      </c>
      <c r="AP21">
        <v>81</v>
      </c>
      <c r="AQ21">
        <v>87</v>
      </c>
      <c r="AR21">
        <v>68</v>
      </c>
      <c r="AS21">
        <v>73</v>
      </c>
      <c r="AT21">
        <v>68</v>
      </c>
      <c r="AU21">
        <v>68</v>
      </c>
      <c r="AV21">
        <v>50</v>
      </c>
      <c r="AW21">
        <v>87</v>
      </c>
      <c r="AX21">
        <v>56</v>
      </c>
      <c r="AY21">
        <v>87</v>
      </c>
      <c r="AZ21">
        <v>79</v>
      </c>
      <c r="BA21">
        <v>62</v>
      </c>
      <c r="BB21">
        <v>85</v>
      </c>
      <c r="BC21">
        <v>88</v>
      </c>
      <c r="BD21">
        <v>82</v>
      </c>
      <c r="BE21">
        <v>76</v>
      </c>
      <c r="BF21">
        <v>88</v>
      </c>
      <c r="BG21">
        <v>85</v>
      </c>
      <c r="BH21">
        <v>90</v>
      </c>
      <c r="BI21">
        <v>66</v>
      </c>
      <c r="BJ21">
        <v>65</v>
      </c>
      <c r="BK21">
        <v>88</v>
      </c>
      <c r="BL21">
        <v>70</v>
      </c>
      <c r="BM21">
        <v>67</v>
      </c>
      <c r="BN21">
        <v>62</v>
      </c>
      <c r="BO21">
        <v>72</v>
      </c>
      <c r="BP21">
        <v>77</v>
      </c>
      <c r="BQ21">
        <v>88</v>
      </c>
      <c r="BR21">
        <v>53</v>
      </c>
      <c r="BS21">
        <v>87</v>
      </c>
      <c r="BT21">
        <v>68</v>
      </c>
      <c r="BU21">
        <v>73</v>
      </c>
      <c r="BV21">
        <v>63</v>
      </c>
      <c r="BW21">
        <v>12</v>
      </c>
      <c r="BX21">
        <v>7</v>
      </c>
      <c r="BY21">
        <v>11</v>
      </c>
      <c r="BZ21">
        <v>8</v>
      </c>
      <c r="CA21">
        <v>8</v>
      </c>
      <c r="CB21">
        <v>76</v>
      </c>
      <c r="CC21">
        <v>81</v>
      </c>
      <c r="CD21">
        <v>80</v>
      </c>
      <c r="CE21">
        <v>80</v>
      </c>
      <c r="CF21">
        <v>80</v>
      </c>
      <c r="CG21">
        <v>81</v>
      </c>
      <c r="CH21">
        <v>85</v>
      </c>
      <c r="CI21">
        <v>84</v>
      </c>
      <c r="CJ21">
        <v>86</v>
      </c>
      <c r="CK21">
        <v>84</v>
      </c>
      <c r="CL21">
        <v>79</v>
      </c>
      <c r="CM21">
        <v>80</v>
      </c>
      <c r="CN21">
        <v>79</v>
      </c>
      <c r="CO21">
        <v>77</v>
      </c>
      <c r="CP21">
        <v>72</v>
      </c>
      <c r="CQ21">
        <v>77</v>
      </c>
      <c r="CR21">
        <v>19</v>
      </c>
    </row>
    <row r="22" spans="1:96">
      <c r="A22">
        <v>21</v>
      </c>
      <c r="B22" t="s">
        <v>224</v>
      </c>
      <c r="C22" t="s">
        <v>96</v>
      </c>
      <c r="D22" t="s">
        <v>133</v>
      </c>
      <c r="E22" t="s">
        <v>217</v>
      </c>
      <c r="F22">
        <v>85</v>
      </c>
      <c r="G22">
        <v>30</v>
      </c>
      <c r="H22" t="s">
        <v>225</v>
      </c>
      <c r="I22" t="s">
        <v>226</v>
      </c>
      <c r="J22">
        <v>84</v>
      </c>
      <c r="K22">
        <v>89</v>
      </c>
      <c r="L22">
        <v>63500000</v>
      </c>
      <c r="M22" t="s">
        <v>132</v>
      </c>
      <c r="N22" t="s">
        <v>133</v>
      </c>
      <c r="O22" t="s">
        <v>227</v>
      </c>
      <c r="P22" t="s">
        <v>228</v>
      </c>
      <c r="Q22">
        <v>23</v>
      </c>
      <c r="R22">
        <v>178</v>
      </c>
      <c r="S22">
        <v>68</v>
      </c>
      <c r="T22">
        <v>2109</v>
      </c>
      <c r="U22">
        <v>442</v>
      </c>
      <c r="V22" t="s">
        <v>217</v>
      </c>
      <c r="W22">
        <v>105000</v>
      </c>
      <c r="X22">
        <v>125400000</v>
      </c>
      <c r="Y22" t="s">
        <v>133</v>
      </c>
      <c r="Z22">
        <v>2026</v>
      </c>
      <c r="AA22">
        <v>8</v>
      </c>
      <c r="AB22">
        <v>2021</v>
      </c>
      <c r="AC22" t="s">
        <v>103</v>
      </c>
      <c r="AD22" t="s">
        <v>137</v>
      </c>
      <c r="AE22">
        <v>2</v>
      </c>
      <c r="AF22">
        <v>5</v>
      </c>
      <c r="AG22">
        <v>3</v>
      </c>
      <c r="AH22" t="s">
        <v>227</v>
      </c>
      <c r="AI22" t="s">
        <v>229</v>
      </c>
      <c r="AJ22" t="s">
        <v>97</v>
      </c>
      <c r="AK22">
        <v>10</v>
      </c>
      <c r="AL22" t="s">
        <v>107</v>
      </c>
      <c r="AM22" t="s">
        <v>116</v>
      </c>
      <c r="AN22">
        <v>76</v>
      </c>
      <c r="AO22">
        <v>75</v>
      </c>
      <c r="AP22">
        <v>86</v>
      </c>
      <c r="AQ22">
        <v>84</v>
      </c>
      <c r="AR22">
        <v>58</v>
      </c>
      <c r="AS22">
        <v>63</v>
      </c>
      <c r="AT22">
        <v>84</v>
      </c>
      <c r="AU22">
        <v>75</v>
      </c>
      <c r="AV22">
        <v>52</v>
      </c>
      <c r="AW22">
        <v>88</v>
      </c>
      <c r="AX22">
        <v>76</v>
      </c>
      <c r="AY22">
        <v>85</v>
      </c>
      <c r="AZ22">
        <v>83</v>
      </c>
      <c r="BA22">
        <v>85</v>
      </c>
      <c r="BB22">
        <v>84</v>
      </c>
      <c r="BC22">
        <v>85</v>
      </c>
      <c r="BD22">
        <v>78</v>
      </c>
      <c r="BE22">
        <v>75</v>
      </c>
      <c r="BF22">
        <v>85</v>
      </c>
      <c r="BG22">
        <v>74</v>
      </c>
      <c r="BH22">
        <v>83</v>
      </c>
      <c r="BI22">
        <v>76</v>
      </c>
      <c r="BJ22">
        <v>46</v>
      </c>
      <c r="BK22">
        <v>79</v>
      </c>
      <c r="BL22">
        <v>56</v>
      </c>
      <c r="BM22">
        <v>77</v>
      </c>
      <c r="BN22">
        <v>63</v>
      </c>
      <c r="BO22">
        <v>65</v>
      </c>
      <c r="BP22">
        <v>79</v>
      </c>
      <c r="BQ22">
        <v>86</v>
      </c>
      <c r="BR22">
        <v>63</v>
      </c>
      <c r="BS22">
        <v>78</v>
      </c>
      <c r="BT22">
        <v>65</v>
      </c>
      <c r="BU22">
        <v>49</v>
      </c>
      <c r="BV22">
        <v>51</v>
      </c>
      <c r="BW22">
        <v>14</v>
      </c>
      <c r="BX22">
        <v>15</v>
      </c>
      <c r="BY22">
        <v>15</v>
      </c>
      <c r="BZ22">
        <v>8</v>
      </c>
      <c r="CA22">
        <v>10</v>
      </c>
      <c r="CB22">
        <v>78</v>
      </c>
      <c r="CC22">
        <v>82</v>
      </c>
      <c r="CD22">
        <v>80</v>
      </c>
      <c r="CE22">
        <v>80</v>
      </c>
      <c r="CF22">
        <v>80</v>
      </c>
      <c r="CG22">
        <v>82</v>
      </c>
      <c r="CH22">
        <v>86</v>
      </c>
      <c r="CI22">
        <v>85</v>
      </c>
      <c r="CJ22">
        <v>84</v>
      </c>
      <c r="CK22">
        <v>85</v>
      </c>
      <c r="CL22">
        <v>75</v>
      </c>
      <c r="CM22">
        <v>74</v>
      </c>
      <c r="CN22">
        <v>75</v>
      </c>
      <c r="CO22">
        <v>72</v>
      </c>
      <c r="CP22">
        <v>64</v>
      </c>
      <c r="CQ22">
        <v>72</v>
      </c>
      <c r="CR22">
        <v>22</v>
      </c>
    </row>
    <row r="23" spans="1:96">
      <c r="A23">
        <v>22</v>
      </c>
      <c r="B23" t="s">
        <v>230</v>
      </c>
      <c r="C23" t="s">
        <v>96</v>
      </c>
      <c r="D23" t="s">
        <v>133</v>
      </c>
      <c r="E23" t="s">
        <v>231</v>
      </c>
      <c r="F23">
        <v>85</v>
      </c>
      <c r="G23">
        <v>30</v>
      </c>
      <c r="H23" t="s">
        <v>232</v>
      </c>
      <c r="I23" t="s">
        <v>233</v>
      </c>
      <c r="J23">
        <v>82</v>
      </c>
      <c r="K23">
        <v>91</v>
      </c>
      <c r="L23">
        <v>66000000</v>
      </c>
      <c r="M23" t="s">
        <v>132</v>
      </c>
      <c r="N23" t="s">
        <v>133</v>
      </c>
      <c r="O23" t="s">
        <v>127</v>
      </c>
      <c r="P23" t="s">
        <v>234</v>
      </c>
      <c r="Q23">
        <v>19</v>
      </c>
      <c r="R23">
        <v>176</v>
      </c>
      <c r="S23">
        <v>72</v>
      </c>
      <c r="T23">
        <v>1994</v>
      </c>
      <c r="U23">
        <v>428</v>
      </c>
      <c r="V23" t="s">
        <v>235</v>
      </c>
      <c r="W23">
        <v>38000</v>
      </c>
      <c r="X23">
        <v>125400000</v>
      </c>
      <c r="Y23" t="s">
        <v>236</v>
      </c>
      <c r="Z23">
        <v>2027</v>
      </c>
      <c r="AA23">
        <v>27</v>
      </c>
      <c r="AB23">
        <v>2020</v>
      </c>
      <c r="AC23" t="s">
        <v>103</v>
      </c>
      <c r="AD23" t="s">
        <v>104</v>
      </c>
      <c r="AE23">
        <v>4</v>
      </c>
      <c r="AF23">
        <v>4</v>
      </c>
      <c r="AG23">
        <v>2</v>
      </c>
      <c r="AH23" t="s">
        <v>103</v>
      </c>
      <c r="AI23" t="s">
        <v>129</v>
      </c>
      <c r="AJ23" t="s">
        <v>103</v>
      </c>
      <c r="AK23" t="s">
        <v>103</v>
      </c>
      <c r="AL23" t="s">
        <v>107</v>
      </c>
      <c r="AM23" t="s">
        <v>116</v>
      </c>
      <c r="AN23">
        <v>78</v>
      </c>
      <c r="AO23">
        <v>73</v>
      </c>
      <c r="AP23">
        <v>80</v>
      </c>
      <c r="AQ23">
        <v>86</v>
      </c>
      <c r="AR23">
        <v>51</v>
      </c>
      <c r="AS23">
        <v>60</v>
      </c>
      <c r="AT23">
        <v>77</v>
      </c>
      <c r="AU23">
        <v>78</v>
      </c>
      <c r="AV23">
        <v>39</v>
      </c>
      <c r="AW23">
        <v>82</v>
      </c>
      <c r="AX23">
        <v>68</v>
      </c>
      <c r="AY23">
        <v>86</v>
      </c>
      <c r="AZ23">
        <v>76</v>
      </c>
      <c r="BA23">
        <v>54</v>
      </c>
      <c r="BB23">
        <v>82</v>
      </c>
      <c r="BC23">
        <v>88</v>
      </c>
      <c r="BD23">
        <v>76</v>
      </c>
      <c r="BE23">
        <v>79</v>
      </c>
      <c r="BF23">
        <v>85</v>
      </c>
      <c r="BG23">
        <v>80</v>
      </c>
      <c r="BH23">
        <v>82</v>
      </c>
      <c r="BI23">
        <v>67</v>
      </c>
      <c r="BJ23">
        <v>52</v>
      </c>
      <c r="BK23">
        <v>79</v>
      </c>
      <c r="BL23">
        <v>50</v>
      </c>
      <c r="BM23">
        <v>70</v>
      </c>
      <c r="BN23">
        <v>63</v>
      </c>
      <c r="BO23">
        <v>45</v>
      </c>
      <c r="BP23">
        <v>78</v>
      </c>
      <c r="BQ23">
        <v>85</v>
      </c>
      <c r="BR23">
        <v>60</v>
      </c>
      <c r="BS23">
        <v>80</v>
      </c>
      <c r="BT23">
        <v>55</v>
      </c>
      <c r="BU23">
        <v>57</v>
      </c>
      <c r="BV23">
        <v>44</v>
      </c>
      <c r="BW23">
        <v>14</v>
      </c>
      <c r="BX23">
        <v>14</v>
      </c>
      <c r="BY23">
        <v>13</v>
      </c>
      <c r="BZ23">
        <v>6</v>
      </c>
      <c r="CA23">
        <v>10</v>
      </c>
      <c r="CB23">
        <v>75</v>
      </c>
      <c r="CC23">
        <v>81</v>
      </c>
      <c r="CD23">
        <v>80</v>
      </c>
      <c r="CE23">
        <v>80</v>
      </c>
      <c r="CF23">
        <v>80</v>
      </c>
      <c r="CG23">
        <v>81</v>
      </c>
      <c r="CH23">
        <v>84</v>
      </c>
      <c r="CI23">
        <v>84</v>
      </c>
      <c r="CJ23">
        <v>81</v>
      </c>
      <c r="CK23">
        <v>84</v>
      </c>
      <c r="CL23">
        <v>71</v>
      </c>
      <c r="CM23">
        <v>70</v>
      </c>
      <c r="CN23">
        <v>71</v>
      </c>
      <c r="CO23">
        <v>67</v>
      </c>
      <c r="CP23">
        <v>58</v>
      </c>
      <c r="CQ23">
        <v>67</v>
      </c>
      <c r="CR23">
        <v>21</v>
      </c>
    </row>
    <row r="24" spans="1:96">
      <c r="A24">
        <v>23</v>
      </c>
      <c r="B24" t="s">
        <v>237</v>
      </c>
      <c r="C24" t="s">
        <v>96</v>
      </c>
      <c r="D24" t="s">
        <v>133</v>
      </c>
      <c r="E24" t="s">
        <v>238</v>
      </c>
      <c r="F24">
        <v>84</v>
      </c>
      <c r="G24">
        <v>30</v>
      </c>
      <c r="H24" t="s">
        <v>239</v>
      </c>
      <c r="I24" t="s">
        <v>237</v>
      </c>
      <c r="J24">
        <v>82</v>
      </c>
      <c r="K24">
        <v>84</v>
      </c>
      <c r="L24">
        <v>38000000</v>
      </c>
      <c r="M24" t="s">
        <v>240</v>
      </c>
      <c r="N24" t="s">
        <v>133</v>
      </c>
      <c r="O24" t="s">
        <v>167</v>
      </c>
      <c r="P24" t="s">
        <v>241</v>
      </c>
      <c r="Q24">
        <v>25</v>
      </c>
      <c r="R24">
        <v>175</v>
      </c>
      <c r="S24">
        <v>73</v>
      </c>
      <c r="T24">
        <v>2090</v>
      </c>
      <c r="U24">
        <v>436</v>
      </c>
      <c r="V24" t="s">
        <v>238</v>
      </c>
      <c r="W24">
        <v>100000</v>
      </c>
      <c r="X24">
        <v>75100000</v>
      </c>
      <c r="Y24" t="s">
        <v>242</v>
      </c>
      <c r="Z24">
        <v>2024</v>
      </c>
      <c r="AA24">
        <v>10</v>
      </c>
      <c r="AB24">
        <v>2018</v>
      </c>
      <c r="AC24" t="s">
        <v>103</v>
      </c>
      <c r="AD24" t="s">
        <v>104</v>
      </c>
      <c r="AE24">
        <v>4</v>
      </c>
      <c r="AF24">
        <v>4</v>
      </c>
      <c r="AG24">
        <v>1</v>
      </c>
      <c r="AH24" t="s">
        <v>103</v>
      </c>
      <c r="AI24" t="s">
        <v>170</v>
      </c>
      <c r="AJ24" t="s">
        <v>103</v>
      </c>
      <c r="AK24" t="s">
        <v>103</v>
      </c>
      <c r="AL24" t="s">
        <v>107</v>
      </c>
      <c r="AM24" t="s">
        <v>116</v>
      </c>
      <c r="AN24">
        <v>73</v>
      </c>
      <c r="AO24">
        <v>78</v>
      </c>
      <c r="AP24">
        <v>84</v>
      </c>
      <c r="AQ24">
        <v>85</v>
      </c>
      <c r="AR24">
        <v>54</v>
      </c>
      <c r="AS24">
        <v>62</v>
      </c>
      <c r="AT24">
        <v>81</v>
      </c>
      <c r="AU24">
        <v>76</v>
      </c>
      <c r="AV24">
        <v>35</v>
      </c>
      <c r="AW24">
        <v>84</v>
      </c>
      <c r="AX24">
        <v>73</v>
      </c>
      <c r="AY24">
        <v>85</v>
      </c>
      <c r="AZ24">
        <v>86</v>
      </c>
      <c r="BA24">
        <v>84</v>
      </c>
      <c r="BB24">
        <v>83</v>
      </c>
      <c r="BC24">
        <v>86</v>
      </c>
      <c r="BD24">
        <v>77</v>
      </c>
      <c r="BE24">
        <v>69</v>
      </c>
      <c r="BF24">
        <v>84</v>
      </c>
      <c r="BG24">
        <v>78</v>
      </c>
      <c r="BH24">
        <v>83</v>
      </c>
      <c r="BI24">
        <v>83</v>
      </c>
      <c r="BJ24">
        <v>51</v>
      </c>
      <c r="BK24">
        <v>76</v>
      </c>
      <c r="BL24">
        <v>53</v>
      </c>
      <c r="BM24">
        <v>80</v>
      </c>
      <c r="BN24">
        <v>68</v>
      </c>
      <c r="BO24">
        <v>44</v>
      </c>
      <c r="BP24">
        <v>81</v>
      </c>
      <c r="BQ24">
        <v>85</v>
      </c>
      <c r="BR24">
        <v>74</v>
      </c>
      <c r="BS24">
        <v>84</v>
      </c>
      <c r="BT24">
        <v>59</v>
      </c>
      <c r="BU24">
        <v>65</v>
      </c>
      <c r="BV24">
        <v>42</v>
      </c>
      <c r="BW24">
        <v>11</v>
      </c>
      <c r="BX24">
        <v>14</v>
      </c>
      <c r="BY24">
        <v>14</v>
      </c>
      <c r="BZ24">
        <v>12</v>
      </c>
      <c r="CA24">
        <v>14</v>
      </c>
      <c r="CB24">
        <v>76</v>
      </c>
      <c r="CC24">
        <v>81</v>
      </c>
      <c r="CD24">
        <v>80</v>
      </c>
      <c r="CE24">
        <v>80</v>
      </c>
      <c r="CF24">
        <v>80</v>
      </c>
      <c r="CG24">
        <v>81</v>
      </c>
      <c r="CH24">
        <v>84</v>
      </c>
      <c r="CI24">
        <v>83</v>
      </c>
      <c r="CJ24">
        <v>82</v>
      </c>
      <c r="CK24">
        <v>83</v>
      </c>
      <c r="CL24">
        <v>71</v>
      </c>
      <c r="CM24">
        <v>71</v>
      </c>
      <c r="CN24">
        <v>71</v>
      </c>
      <c r="CO24">
        <v>67</v>
      </c>
      <c r="CP24">
        <v>59</v>
      </c>
      <c r="CQ24">
        <v>67</v>
      </c>
      <c r="CR24">
        <v>22</v>
      </c>
    </row>
    <row r="25" spans="1:96">
      <c r="A25">
        <v>24</v>
      </c>
      <c r="B25" t="s">
        <v>243</v>
      </c>
      <c r="C25" t="s">
        <v>96</v>
      </c>
      <c r="D25" t="s">
        <v>109</v>
      </c>
      <c r="E25" t="s">
        <v>217</v>
      </c>
      <c r="F25">
        <v>84</v>
      </c>
      <c r="G25">
        <v>30</v>
      </c>
      <c r="H25" t="s">
        <v>244</v>
      </c>
      <c r="I25" t="s">
        <v>243</v>
      </c>
      <c r="J25">
        <v>84</v>
      </c>
      <c r="K25">
        <v>87</v>
      </c>
      <c r="L25">
        <v>52000000</v>
      </c>
      <c r="M25" t="s">
        <v>109</v>
      </c>
      <c r="N25" t="s">
        <v>109</v>
      </c>
      <c r="O25" t="s">
        <v>167</v>
      </c>
      <c r="P25" t="s">
        <v>245</v>
      </c>
      <c r="Q25">
        <v>23</v>
      </c>
      <c r="R25">
        <v>185</v>
      </c>
      <c r="S25">
        <v>80</v>
      </c>
      <c r="T25">
        <v>2075</v>
      </c>
      <c r="U25">
        <v>450</v>
      </c>
      <c r="V25" t="s">
        <v>246</v>
      </c>
      <c r="W25">
        <v>83000</v>
      </c>
      <c r="X25">
        <v>102700000</v>
      </c>
      <c r="Y25" t="s">
        <v>109</v>
      </c>
      <c r="Z25">
        <v>2024</v>
      </c>
      <c r="AA25">
        <v>41</v>
      </c>
      <c r="AB25">
        <v>2016</v>
      </c>
      <c r="AC25" t="s">
        <v>103</v>
      </c>
      <c r="AD25" t="s">
        <v>104</v>
      </c>
      <c r="AE25">
        <v>3</v>
      </c>
      <c r="AF25">
        <v>2</v>
      </c>
      <c r="AG25">
        <v>1</v>
      </c>
      <c r="AH25" t="s">
        <v>167</v>
      </c>
      <c r="AI25" t="s">
        <v>170</v>
      </c>
      <c r="AJ25" t="s">
        <v>97</v>
      </c>
      <c r="AK25">
        <v>4</v>
      </c>
      <c r="AL25" t="s">
        <v>116</v>
      </c>
      <c r="AM25" t="s">
        <v>107</v>
      </c>
      <c r="AN25">
        <v>71</v>
      </c>
      <c r="AO25">
        <v>64</v>
      </c>
      <c r="AP25">
        <v>74</v>
      </c>
      <c r="AQ25">
        <v>76</v>
      </c>
      <c r="AR25">
        <v>82</v>
      </c>
      <c r="AS25">
        <v>83</v>
      </c>
      <c r="AT25">
        <v>55</v>
      </c>
      <c r="AU25">
        <v>61</v>
      </c>
      <c r="AV25">
        <v>72</v>
      </c>
      <c r="AW25">
        <v>83</v>
      </c>
      <c r="AX25">
        <v>50</v>
      </c>
      <c r="AY25">
        <v>78</v>
      </c>
      <c r="AZ25">
        <v>58</v>
      </c>
      <c r="BA25">
        <v>58</v>
      </c>
      <c r="BB25">
        <v>84</v>
      </c>
      <c r="BC25">
        <v>79</v>
      </c>
      <c r="BD25">
        <v>68</v>
      </c>
      <c r="BE25">
        <v>74</v>
      </c>
      <c r="BF25">
        <v>55</v>
      </c>
      <c r="BG25">
        <v>81</v>
      </c>
      <c r="BH25">
        <v>67</v>
      </c>
      <c r="BI25">
        <v>74</v>
      </c>
      <c r="BJ25">
        <v>74</v>
      </c>
      <c r="BK25">
        <v>90</v>
      </c>
      <c r="BL25">
        <v>79</v>
      </c>
      <c r="BM25">
        <v>65</v>
      </c>
      <c r="BN25">
        <v>84</v>
      </c>
      <c r="BO25">
        <v>85</v>
      </c>
      <c r="BP25">
        <v>58</v>
      </c>
      <c r="BQ25">
        <v>79</v>
      </c>
      <c r="BR25">
        <v>71</v>
      </c>
      <c r="BS25">
        <v>83</v>
      </c>
      <c r="BT25">
        <v>82</v>
      </c>
      <c r="BU25">
        <v>84</v>
      </c>
      <c r="BV25">
        <v>80</v>
      </c>
      <c r="BW25">
        <v>8</v>
      </c>
      <c r="BX25">
        <v>11</v>
      </c>
      <c r="BY25">
        <v>14</v>
      </c>
      <c r="BZ25">
        <v>5</v>
      </c>
      <c r="CA25">
        <v>9</v>
      </c>
      <c r="CB25">
        <v>72</v>
      </c>
      <c r="CC25">
        <v>71</v>
      </c>
      <c r="CD25">
        <v>73</v>
      </c>
      <c r="CE25">
        <v>73</v>
      </c>
      <c r="CF25">
        <v>73</v>
      </c>
      <c r="CG25">
        <v>71</v>
      </c>
      <c r="CH25">
        <v>77</v>
      </c>
      <c r="CI25">
        <v>76</v>
      </c>
      <c r="CJ25">
        <v>81</v>
      </c>
      <c r="CK25">
        <v>76</v>
      </c>
      <c r="CL25">
        <v>80</v>
      </c>
      <c r="CM25">
        <v>85</v>
      </c>
      <c r="CN25">
        <v>80</v>
      </c>
      <c r="CO25">
        <v>81</v>
      </c>
      <c r="CP25">
        <v>83</v>
      </c>
      <c r="CQ25">
        <v>81</v>
      </c>
      <c r="CR25">
        <v>19</v>
      </c>
    </row>
    <row r="26" spans="1:96">
      <c r="A26">
        <v>25</v>
      </c>
      <c r="B26" t="s">
        <v>247</v>
      </c>
      <c r="C26" t="s">
        <v>96</v>
      </c>
      <c r="D26" t="s">
        <v>97</v>
      </c>
      <c r="E26" t="s">
        <v>248</v>
      </c>
      <c r="F26">
        <v>84</v>
      </c>
      <c r="G26">
        <v>30</v>
      </c>
      <c r="H26" t="s">
        <v>249</v>
      </c>
      <c r="I26" t="s">
        <v>247</v>
      </c>
      <c r="J26">
        <v>84</v>
      </c>
      <c r="K26">
        <v>86</v>
      </c>
      <c r="L26">
        <v>52500000</v>
      </c>
      <c r="M26" t="s">
        <v>149</v>
      </c>
      <c r="N26" t="s">
        <v>97</v>
      </c>
      <c r="O26" t="s">
        <v>101</v>
      </c>
      <c r="P26" t="s">
        <v>250</v>
      </c>
      <c r="Q26">
        <v>25</v>
      </c>
      <c r="R26">
        <v>176</v>
      </c>
      <c r="S26">
        <v>72</v>
      </c>
      <c r="T26">
        <v>2187</v>
      </c>
      <c r="U26">
        <v>446</v>
      </c>
      <c r="V26" t="s">
        <v>238</v>
      </c>
      <c r="W26">
        <v>115000</v>
      </c>
      <c r="X26">
        <v>103700000</v>
      </c>
      <c r="Y26" t="s">
        <v>97</v>
      </c>
      <c r="Z26">
        <v>2023</v>
      </c>
      <c r="AA26">
        <v>8</v>
      </c>
      <c r="AB26">
        <v>2019</v>
      </c>
      <c r="AC26" t="s">
        <v>103</v>
      </c>
      <c r="AD26" t="s">
        <v>104</v>
      </c>
      <c r="AE26">
        <v>5</v>
      </c>
      <c r="AF26">
        <v>4</v>
      </c>
      <c r="AG26">
        <v>2</v>
      </c>
      <c r="AH26" t="s">
        <v>101</v>
      </c>
      <c r="AI26" t="s">
        <v>105</v>
      </c>
      <c r="AJ26" t="s">
        <v>97</v>
      </c>
      <c r="AK26">
        <v>8</v>
      </c>
      <c r="AL26" t="s">
        <v>116</v>
      </c>
      <c r="AM26" t="s">
        <v>116</v>
      </c>
      <c r="AN26">
        <v>56</v>
      </c>
      <c r="AO26">
        <v>80</v>
      </c>
      <c r="AP26">
        <v>86</v>
      </c>
      <c r="AQ26">
        <v>81</v>
      </c>
      <c r="AR26">
        <v>70</v>
      </c>
      <c r="AS26">
        <v>73</v>
      </c>
      <c r="AT26">
        <v>82</v>
      </c>
      <c r="AU26">
        <v>74</v>
      </c>
      <c r="AV26">
        <v>67</v>
      </c>
      <c r="AW26">
        <v>89</v>
      </c>
      <c r="AX26">
        <v>79</v>
      </c>
      <c r="AY26">
        <v>81</v>
      </c>
      <c r="AZ26">
        <v>84</v>
      </c>
      <c r="BA26">
        <v>78</v>
      </c>
      <c r="BB26">
        <v>88</v>
      </c>
      <c r="BC26">
        <v>85</v>
      </c>
      <c r="BD26">
        <v>58</v>
      </c>
      <c r="BE26">
        <v>54</v>
      </c>
      <c r="BF26">
        <v>67</v>
      </c>
      <c r="BG26">
        <v>84</v>
      </c>
      <c r="BH26">
        <v>77</v>
      </c>
      <c r="BI26">
        <v>87</v>
      </c>
      <c r="BJ26">
        <v>68</v>
      </c>
      <c r="BK26">
        <v>85</v>
      </c>
      <c r="BL26">
        <v>69</v>
      </c>
      <c r="BM26">
        <v>87</v>
      </c>
      <c r="BN26">
        <v>69</v>
      </c>
      <c r="BO26">
        <v>71</v>
      </c>
      <c r="BP26">
        <v>80</v>
      </c>
      <c r="BQ26">
        <v>87</v>
      </c>
      <c r="BR26">
        <v>77</v>
      </c>
      <c r="BS26">
        <v>85</v>
      </c>
      <c r="BT26">
        <v>69</v>
      </c>
      <c r="BU26">
        <v>73</v>
      </c>
      <c r="BV26">
        <v>68</v>
      </c>
      <c r="BW26">
        <v>6</v>
      </c>
      <c r="BX26">
        <v>8</v>
      </c>
      <c r="BY26">
        <v>10</v>
      </c>
      <c r="BZ26">
        <v>14</v>
      </c>
      <c r="CA26">
        <v>12</v>
      </c>
      <c r="CB26">
        <v>79</v>
      </c>
      <c r="CC26">
        <v>79</v>
      </c>
      <c r="CD26">
        <v>80</v>
      </c>
      <c r="CE26">
        <v>80</v>
      </c>
      <c r="CF26">
        <v>80</v>
      </c>
      <c r="CG26">
        <v>79</v>
      </c>
      <c r="CH26">
        <v>84</v>
      </c>
      <c r="CI26">
        <v>82</v>
      </c>
      <c r="CJ26">
        <v>86</v>
      </c>
      <c r="CK26">
        <v>82</v>
      </c>
      <c r="CL26">
        <v>78</v>
      </c>
      <c r="CM26">
        <v>81</v>
      </c>
      <c r="CN26">
        <v>78</v>
      </c>
      <c r="CO26">
        <v>76</v>
      </c>
      <c r="CP26">
        <v>74</v>
      </c>
      <c r="CQ26">
        <v>76</v>
      </c>
      <c r="CR26">
        <v>20</v>
      </c>
    </row>
    <row r="27" spans="1:96">
      <c r="A27">
        <v>26</v>
      </c>
      <c r="B27" t="s">
        <v>251</v>
      </c>
      <c r="C27" t="s">
        <v>96</v>
      </c>
      <c r="D27" t="s">
        <v>97</v>
      </c>
      <c r="E27" t="s">
        <v>252</v>
      </c>
      <c r="F27">
        <v>84</v>
      </c>
      <c r="G27">
        <v>30</v>
      </c>
      <c r="H27" t="s">
        <v>251</v>
      </c>
      <c r="I27" t="s">
        <v>253</v>
      </c>
      <c r="J27">
        <v>84</v>
      </c>
      <c r="K27">
        <v>85</v>
      </c>
      <c r="L27">
        <v>48000000</v>
      </c>
      <c r="M27" t="s">
        <v>254</v>
      </c>
      <c r="N27" t="s">
        <v>133</v>
      </c>
      <c r="O27" t="s">
        <v>199</v>
      </c>
      <c r="P27" t="s">
        <v>255</v>
      </c>
      <c r="Q27">
        <v>27</v>
      </c>
      <c r="R27">
        <v>184</v>
      </c>
      <c r="S27">
        <v>74</v>
      </c>
      <c r="T27">
        <v>2244</v>
      </c>
      <c r="U27">
        <v>489</v>
      </c>
      <c r="V27" t="s">
        <v>256</v>
      </c>
      <c r="W27">
        <v>81000</v>
      </c>
      <c r="X27">
        <v>102000000</v>
      </c>
      <c r="Y27" t="s">
        <v>114</v>
      </c>
      <c r="Z27">
        <v>2027</v>
      </c>
      <c r="AA27">
        <v>14</v>
      </c>
      <c r="AB27">
        <v>2019</v>
      </c>
      <c r="AC27" t="s">
        <v>103</v>
      </c>
      <c r="AD27" t="s">
        <v>104</v>
      </c>
      <c r="AE27">
        <v>4</v>
      </c>
      <c r="AF27">
        <v>3</v>
      </c>
      <c r="AG27">
        <v>3</v>
      </c>
      <c r="AH27" t="s">
        <v>199</v>
      </c>
      <c r="AI27" t="s">
        <v>201</v>
      </c>
      <c r="AJ27" t="s">
        <v>114</v>
      </c>
      <c r="AK27">
        <v>6</v>
      </c>
      <c r="AL27" t="s">
        <v>107</v>
      </c>
      <c r="AM27" t="s">
        <v>116</v>
      </c>
      <c r="AN27">
        <v>88</v>
      </c>
      <c r="AO27">
        <v>79</v>
      </c>
      <c r="AP27">
        <v>81</v>
      </c>
      <c r="AQ27">
        <v>82</v>
      </c>
      <c r="AR27">
        <v>78</v>
      </c>
      <c r="AS27">
        <v>81</v>
      </c>
      <c r="AT27">
        <v>74</v>
      </c>
      <c r="AU27">
        <v>80</v>
      </c>
      <c r="AV27">
        <v>67</v>
      </c>
      <c r="AW27">
        <v>86</v>
      </c>
      <c r="AX27">
        <v>66</v>
      </c>
      <c r="AY27">
        <v>82</v>
      </c>
      <c r="AZ27">
        <v>75</v>
      </c>
      <c r="BA27">
        <v>63</v>
      </c>
      <c r="BB27">
        <v>81</v>
      </c>
      <c r="BC27">
        <v>84</v>
      </c>
      <c r="BD27">
        <v>85</v>
      </c>
      <c r="BE27">
        <v>90</v>
      </c>
      <c r="BF27">
        <v>82</v>
      </c>
      <c r="BG27">
        <v>85</v>
      </c>
      <c r="BH27">
        <v>68</v>
      </c>
      <c r="BI27">
        <v>84</v>
      </c>
      <c r="BJ27">
        <v>69</v>
      </c>
      <c r="BK27">
        <v>90</v>
      </c>
      <c r="BL27">
        <v>77</v>
      </c>
      <c r="BM27">
        <v>77</v>
      </c>
      <c r="BN27">
        <v>82</v>
      </c>
      <c r="BO27">
        <v>81</v>
      </c>
      <c r="BP27">
        <v>84</v>
      </c>
      <c r="BQ27">
        <v>84</v>
      </c>
      <c r="BR27">
        <v>65</v>
      </c>
      <c r="BS27">
        <v>83</v>
      </c>
      <c r="BT27">
        <v>79</v>
      </c>
      <c r="BU27">
        <v>79</v>
      </c>
      <c r="BV27">
        <v>74</v>
      </c>
      <c r="BW27">
        <v>13</v>
      </c>
      <c r="BX27">
        <v>6</v>
      </c>
      <c r="BY27">
        <v>6</v>
      </c>
      <c r="BZ27">
        <v>11</v>
      </c>
      <c r="CA27">
        <v>15</v>
      </c>
      <c r="CB27">
        <v>84</v>
      </c>
      <c r="CC27">
        <v>83</v>
      </c>
      <c r="CD27">
        <v>83</v>
      </c>
      <c r="CE27">
        <v>83</v>
      </c>
      <c r="CF27">
        <v>83</v>
      </c>
      <c r="CG27">
        <v>83</v>
      </c>
      <c r="CH27">
        <v>85</v>
      </c>
      <c r="CI27">
        <v>85</v>
      </c>
      <c r="CJ27">
        <v>85</v>
      </c>
      <c r="CK27">
        <v>85</v>
      </c>
      <c r="CL27">
        <v>85</v>
      </c>
      <c r="CM27">
        <v>85</v>
      </c>
      <c r="CN27">
        <v>85</v>
      </c>
      <c r="CO27">
        <v>84</v>
      </c>
      <c r="CP27">
        <v>81</v>
      </c>
      <c r="CQ27">
        <v>84</v>
      </c>
      <c r="CR27">
        <v>22</v>
      </c>
    </row>
    <row r="28" spans="1:96">
      <c r="A28">
        <v>27</v>
      </c>
      <c r="B28" t="s">
        <v>257</v>
      </c>
      <c r="C28" t="s">
        <v>96</v>
      </c>
      <c r="D28" t="s">
        <v>109</v>
      </c>
      <c r="E28" t="s">
        <v>217</v>
      </c>
      <c r="F28">
        <v>84</v>
      </c>
      <c r="G28">
        <v>30</v>
      </c>
      <c r="H28" t="s">
        <v>258</v>
      </c>
      <c r="I28" t="s">
        <v>257</v>
      </c>
      <c r="J28">
        <v>84</v>
      </c>
      <c r="K28">
        <v>84</v>
      </c>
      <c r="L28">
        <v>36000000</v>
      </c>
      <c r="M28" t="s">
        <v>259</v>
      </c>
      <c r="N28" t="s">
        <v>109</v>
      </c>
      <c r="O28" t="s">
        <v>260</v>
      </c>
      <c r="P28" t="s">
        <v>261</v>
      </c>
      <c r="Q28">
        <v>29</v>
      </c>
      <c r="R28">
        <v>185</v>
      </c>
      <c r="S28">
        <v>77</v>
      </c>
      <c r="T28">
        <v>2143</v>
      </c>
      <c r="U28">
        <v>460</v>
      </c>
      <c r="V28" t="s">
        <v>217</v>
      </c>
      <c r="W28">
        <v>115000</v>
      </c>
      <c r="X28">
        <v>68400000</v>
      </c>
      <c r="Y28" t="s">
        <v>109</v>
      </c>
      <c r="Z28">
        <v>2024</v>
      </c>
      <c r="AA28">
        <v>5</v>
      </c>
      <c r="AB28">
        <v>2020</v>
      </c>
      <c r="AC28" t="s">
        <v>103</v>
      </c>
      <c r="AD28" t="s">
        <v>104</v>
      </c>
      <c r="AE28">
        <v>3</v>
      </c>
      <c r="AF28">
        <v>3</v>
      </c>
      <c r="AG28">
        <v>2</v>
      </c>
      <c r="AH28" t="s">
        <v>260</v>
      </c>
      <c r="AI28" t="s">
        <v>262</v>
      </c>
      <c r="AJ28" t="s">
        <v>109</v>
      </c>
      <c r="AK28">
        <v>6</v>
      </c>
      <c r="AL28" t="s">
        <v>116</v>
      </c>
      <c r="AM28" t="s">
        <v>107</v>
      </c>
      <c r="AN28">
        <v>65</v>
      </c>
      <c r="AO28">
        <v>71</v>
      </c>
      <c r="AP28">
        <v>81</v>
      </c>
      <c r="AQ28">
        <v>80</v>
      </c>
      <c r="AR28">
        <v>80</v>
      </c>
      <c r="AS28">
        <v>83</v>
      </c>
      <c r="AT28">
        <v>74</v>
      </c>
      <c r="AU28">
        <v>66</v>
      </c>
      <c r="AV28">
        <v>68</v>
      </c>
      <c r="AW28">
        <v>85</v>
      </c>
      <c r="AX28">
        <v>56</v>
      </c>
      <c r="AY28">
        <v>84</v>
      </c>
      <c r="AZ28">
        <v>69</v>
      </c>
      <c r="BA28">
        <v>70</v>
      </c>
      <c r="BB28">
        <v>85</v>
      </c>
      <c r="BC28">
        <v>83</v>
      </c>
      <c r="BD28">
        <v>61</v>
      </c>
      <c r="BE28">
        <v>68</v>
      </c>
      <c r="BF28">
        <v>67</v>
      </c>
      <c r="BG28">
        <v>82</v>
      </c>
      <c r="BH28">
        <v>50</v>
      </c>
      <c r="BI28">
        <v>86</v>
      </c>
      <c r="BJ28">
        <v>83</v>
      </c>
      <c r="BK28">
        <v>82</v>
      </c>
      <c r="BL28">
        <v>84</v>
      </c>
      <c r="BM28">
        <v>78</v>
      </c>
      <c r="BN28">
        <v>84</v>
      </c>
      <c r="BO28">
        <v>81</v>
      </c>
      <c r="BP28">
        <v>70</v>
      </c>
      <c r="BQ28">
        <v>85</v>
      </c>
      <c r="BR28">
        <v>49</v>
      </c>
      <c r="BS28">
        <v>86</v>
      </c>
      <c r="BT28">
        <v>80</v>
      </c>
      <c r="BU28">
        <v>84</v>
      </c>
      <c r="BV28">
        <v>80</v>
      </c>
      <c r="BW28">
        <v>11</v>
      </c>
      <c r="BX28">
        <v>13</v>
      </c>
      <c r="BY28">
        <v>9</v>
      </c>
      <c r="BZ28">
        <v>9</v>
      </c>
      <c r="CA28">
        <v>7</v>
      </c>
      <c r="CB28">
        <v>77</v>
      </c>
      <c r="CC28">
        <v>77</v>
      </c>
      <c r="CD28">
        <v>78</v>
      </c>
      <c r="CE28">
        <v>78</v>
      </c>
      <c r="CF28">
        <v>78</v>
      </c>
      <c r="CG28">
        <v>77</v>
      </c>
      <c r="CH28">
        <v>81</v>
      </c>
      <c r="CI28">
        <v>80</v>
      </c>
      <c r="CJ28">
        <v>84</v>
      </c>
      <c r="CK28">
        <v>80</v>
      </c>
      <c r="CL28">
        <v>82</v>
      </c>
      <c r="CM28">
        <v>84</v>
      </c>
      <c r="CN28">
        <v>82</v>
      </c>
      <c r="CO28">
        <v>81</v>
      </c>
      <c r="CP28">
        <v>83</v>
      </c>
      <c r="CQ28">
        <v>81</v>
      </c>
      <c r="CR28">
        <v>20</v>
      </c>
    </row>
    <row r="29" spans="1:96">
      <c r="A29">
        <v>28</v>
      </c>
      <c r="B29" t="s">
        <v>263</v>
      </c>
      <c r="C29" t="s">
        <v>96</v>
      </c>
      <c r="D29" t="s">
        <v>97</v>
      </c>
      <c r="E29" t="s">
        <v>264</v>
      </c>
      <c r="F29">
        <v>84</v>
      </c>
      <c r="G29">
        <v>30</v>
      </c>
      <c r="H29" t="s">
        <v>265</v>
      </c>
      <c r="I29" t="s">
        <v>263</v>
      </c>
      <c r="J29">
        <v>84</v>
      </c>
      <c r="K29">
        <v>90</v>
      </c>
      <c r="L29">
        <v>62500000</v>
      </c>
      <c r="M29" t="s">
        <v>259</v>
      </c>
      <c r="N29" t="s">
        <v>109</v>
      </c>
      <c r="O29" t="s">
        <v>156</v>
      </c>
      <c r="P29" t="s">
        <v>266</v>
      </c>
      <c r="Q29">
        <v>22</v>
      </c>
      <c r="R29">
        <v>181</v>
      </c>
      <c r="S29">
        <v>79</v>
      </c>
      <c r="T29">
        <v>2225</v>
      </c>
      <c r="U29">
        <v>475</v>
      </c>
      <c r="V29" t="s">
        <v>267</v>
      </c>
      <c r="W29">
        <v>75000</v>
      </c>
      <c r="X29">
        <v>118800000</v>
      </c>
      <c r="Y29" t="s">
        <v>97</v>
      </c>
      <c r="Z29">
        <v>2027</v>
      </c>
      <c r="AA29">
        <v>8</v>
      </c>
      <c r="AB29">
        <v>2021</v>
      </c>
      <c r="AC29" t="s">
        <v>103</v>
      </c>
      <c r="AD29" t="s">
        <v>104</v>
      </c>
      <c r="AE29">
        <v>4</v>
      </c>
      <c r="AF29">
        <v>3</v>
      </c>
      <c r="AG29">
        <v>1</v>
      </c>
      <c r="AH29" t="s">
        <v>103</v>
      </c>
      <c r="AI29" t="s">
        <v>159</v>
      </c>
      <c r="AJ29" t="s">
        <v>103</v>
      </c>
      <c r="AK29" t="s">
        <v>103</v>
      </c>
      <c r="AL29" t="s">
        <v>116</v>
      </c>
      <c r="AM29" t="s">
        <v>107</v>
      </c>
      <c r="AN29">
        <v>81</v>
      </c>
      <c r="AO29">
        <v>73</v>
      </c>
      <c r="AP29">
        <v>81</v>
      </c>
      <c r="AQ29">
        <v>79</v>
      </c>
      <c r="AR29">
        <v>79</v>
      </c>
      <c r="AS29">
        <v>82</v>
      </c>
      <c r="AT29">
        <v>78</v>
      </c>
      <c r="AU29">
        <v>69</v>
      </c>
      <c r="AV29">
        <v>70</v>
      </c>
      <c r="AW29">
        <v>84</v>
      </c>
      <c r="AX29">
        <v>68</v>
      </c>
      <c r="AY29">
        <v>75</v>
      </c>
      <c r="AZ29">
        <v>75</v>
      </c>
      <c r="BA29">
        <v>81</v>
      </c>
      <c r="BB29">
        <v>81</v>
      </c>
      <c r="BC29">
        <v>83</v>
      </c>
      <c r="BD29">
        <v>78</v>
      </c>
      <c r="BE29">
        <v>83</v>
      </c>
      <c r="BF29">
        <v>81</v>
      </c>
      <c r="BG29">
        <v>82</v>
      </c>
      <c r="BH29">
        <v>83</v>
      </c>
      <c r="BI29">
        <v>79</v>
      </c>
      <c r="BJ29">
        <v>65</v>
      </c>
      <c r="BK29">
        <v>85</v>
      </c>
      <c r="BL29">
        <v>81</v>
      </c>
      <c r="BM29">
        <v>81</v>
      </c>
      <c r="BN29">
        <v>84</v>
      </c>
      <c r="BO29">
        <v>81</v>
      </c>
      <c r="BP29">
        <v>75</v>
      </c>
      <c r="BQ29">
        <v>78</v>
      </c>
      <c r="BR29">
        <v>64</v>
      </c>
      <c r="BS29">
        <v>84</v>
      </c>
      <c r="BT29">
        <v>81</v>
      </c>
      <c r="BU29">
        <v>81</v>
      </c>
      <c r="BV29">
        <v>75</v>
      </c>
      <c r="BW29">
        <v>13</v>
      </c>
      <c r="BX29">
        <v>9</v>
      </c>
      <c r="BY29">
        <v>8</v>
      </c>
      <c r="BZ29">
        <v>7</v>
      </c>
      <c r="CA29">
        <v>7</v>
      </c>
      <c r="CB29">
        <v>78</v>
      </c>
      <c r="CC29">
        <v>78</v>
      </c>
      <c r="CD29">
        <v>78</v>
      </c>
      <c r="CE29">
        <v>78</v>
      </c>
      <c r="CF29">
        <v>78</v>
      </c>
      <c r="CG29">
        <v>78</v>
      </c>
      <c r="CH29">
        <v>81</v>
      </c>
      <c r="CI29">
        <v>81</v>
      </c>
      <c r="CJ29">
        <v>83</v>
      </c>
      <c r="CK29">
        <v>81</v>
      </c>
      <c r="CL29">
        <v>83</v>
      </c>
      <c r="CM29">
        <v>84</v>
      </c>
      <c r="CN29">
        <v>83</v>
      </c>
      <c r="CO29">
        <v>82</v>
      </c>
      <c r="CP29">
        <v>81</v>
      </c>
      <c r="CQ29">
        <v>82</v>
      </c>
      <c r="CR29">
        <v>19</v>
      </c>
    </row>
    <row r="30" spans="1:96">
      <c r="A30">
        <v>29</v>
      </c>
      <c r="B30" t="s">
        <v>268</v>
      </c>
      <c r="C30" t="s">
        <v>96</v>
      </c>
      <c r="D30" t="s">
        <v>133</v>
      </c>
      <c r="E30" t="s">
        <v>184</v>
      </c>
      <c r="F30">
        <v>84</v>
      </c>
      <c r="G30">
        <v>30</v>
      </c>
      <c r="H30" t="s">
        <v>269</v>
      </c>
      <c r="I30" t="s">
        <v>270</v>
      </c>
      <c r="J30">
        <v>84</v>
      </c>
      <c r="K30">
        <v>84</v>
      </c>
      <c r="L30">
        <v>42000000</v>
      </c>
      <c r="M30" t="s">
        <v>97</v>
      </c>
      <c r="N30" t="s">
        <v>97</v>
      </c>
      <c r="O30" t="s">
        <v>271</v>
      </c>
      <c r="P30" t="s">
        <v>272</v>
      </c>
      <c r="Q30">
        <v>28</v>
      </c>
      <c r="R30">
        <v>178</v>
      </c>
      <c r="S30">
        <v>76</v>
      </c>
      <c r="T30">
        <v>2172</v>
      </c>
      <c r="U30">
        <v>450</v>
      </c>
      <c r="V30" t="s">
        <v>187</v>
      </c>
      <c r="W30">
        <v>100000</v>
      </c>
      <c r="X30">
        <v>69300000</v>
      </c>
      <c r="Y30" t="s">
        <v>97</v>
      </c>
      <c r="Z30">
        <v>2024</v>
      </c>
      <c r="AA30">
        <v>20</v>
      </c>
      <c r="AB30">
        <v>2021</v>
      </c>
      <c r="AC30" t="s">
        <v>103</v>
      </c>
      <c r="AD30" t="s">
        <v>104</v>
      </c>
      <c r="AE30">
        <v>4</v>
      </c>
      <c r="AF30">
        <v>4</v>
      </c>
      <c r="AG30">
        <v>3</v>
      </c>
      <c r="AH30" t="s">
        <v>103</v>
      </c>
      <c r="AI30" t="s">
        <v>273</v>
      </c>
      <c r="AJ30" t="s">
        <v>103</v>
      </c>
      <c r="AK30" t="s">
        <v>103</v>
      </c>
      <c r="AL30" t="s">
        <v>107</v>
      </c>
      <c r="AM30" t="s">
        <v>107</v>
      </c>
      <c r="AN30">
        <v>67</v>
      </c>
      <c r="AO30">
        <v>80</v>
      </c>
      <c r="AP30">
        <v>85</v>
      </c>
      <c r="AQ30">
        <v>86</v>
      </c>
      <c r="AR30">
        <v>68</v>
      </c>
      <c r="AS30">
        <v>64</v>
      </c>
      <c r="AT30">
        <v>80</v>
      </c>
      <c r="AU30">
        <v>75</v>
      </c>
      <c r="AV30">
        <v>53</v>
      </c>
      <c r="AW30">
        <v>87</v>
      </c>
      <c r="AX30">
        <v>74</v>
      </c>
      <c r="AY30">
        <v>86</v>
      </c>
      <c r="AZ30">
        <v>85</v>
      </c>
      <c r="BA30">
        <v>85</v>
      </c>
      <c r="BB30">
        <v>84</v>
      </c>
      <c r="BC30">
        <v>88</v>
      </c>
      <c r="BD30">
        <v>72</v>
      </c>
      <c r="BE30">
        <v>62</v>
      </c>
      <c r="BF30">
        <v>83</v>
      </c>
      <c r="BG30">
        <v>84</v>
      </c>
      <c r="BH30">
        <v>79</v>
      </c>
      <c r="BI30">
        <v>85</v>
      </c>
      <c r="BJ30">
        <v>45</v>
      </c>
      <c r="BK30">
        <v>78</v>
      </c>
      <c r="BL30">
        <v>55</v>
      </c>
      <c r="BM30">
        <v>87</v>
      </c>
      <c r="BN30">
        <v>73</v>
      </c>
      <c r="BO30">
        <v>76</v>
      </c>
      <c r="BP30">
        <v>79</v>
      </c>
      <c r="BQ30">
        <v>86</v>
      </c>
      <c r="BR30">
        <v>81</v>
      </c>
      <c r="BS30">
        <v>83</v>
      </c>
      <c r="BT30">
        <v>69</v>
      </c>
      <c r="BU30">
        <v>68</v>
      </c>
      <c r="BV30">
        <v>63</v>
      </c>
      <c r="BW30">
        <v>9</v>
      </c>
      <c r="BX30">
        <v>14</v>
      </c>
      <c r="BY30">
        <v>11</v>
      </c>
      <c r="BZ30">
        <v>6</v>
      </c>
      <c r="CA30">
        <v>10</v>
      </c>
      <c r="CB30">
        <v>79</v>
      </c>
      <c r="CC30">
        <v>81</v>
      </c>
      <c r="CD30">
        <v>82</v>
      </c>
      <c r="CE30">
        <v>82</v>
      </c>
      <c r="CF30">
        <v>82</v>
      </c>
      <c r="CG30">
        <v>81</v>
      </c>
      <c r="CH30">
        <v>84</v>
      </c>
      <c r="CI30">
        <v>84</v>
      </c>
      <c r="CJ30">
        <v>84</v>
      </c>
      <c r="CK30">
        <v>84</v>
      </c>
      <c r="CL30">
        <v>79</v>
      </c>
      <c r="CM30">
        <v>80</v>
      </c>
      <c r="CN30">
        <v>79</v>
      </c>
      <c r="CO30">
        <v>76</v>
      </c>
      <c r="CP30">
        <v>71</v>
      </c>
      <c r="CQ30">
        <v>76</v>
      </c>
      <c r="CR30">
        <v>21</v>
      </c>
    </row>
    <row r="31" spans="1:96">
      <c r="A31">
        <v>30</v>
      </c>
      <c r="B31" t="s">
        <v>274</v>
      </c>
      <c r="C31" t="s">
        <v>96</v>
      </c>
      <c r="D31" t="s">
        <v>109</v>
      </c>
      <c r="E31" t="s">
        <v>275</v>
      </c>
      <c r="F31">
        <v>84</v>
      </c>
      <c r="G31">
        <v>30</v>
      </c>
      <c r="H31" t="s">
        <v>276</v>
      </c>
      <c r="I31" t="s">
        <v>277</v>
      </c>
      <c r="J31">
        <v>83</v>
      </c>
      <c r="K31">
        <v>85</v>
      </c>
      <c r="L31">
        <v>40500000</v>
      </c>
      <c r="M31" t="s">
        <v>259</v>
      </c>
      <c r="N31" t="s">
        <v>109</v>
      </c>
      <c r="O31" t="s">
        <v>278</v>
      </c>
      <c r="P31" t="s">
        <v>279</v>
      </c>
      <c r="Q31">
        <v>26</v>
      </c>
      <c r="R31">
        <v>187</v>
      </c>
      <c r="S31">
        <v>84</v>
      </c>
      <c r="T31">
        <v>2108</v>
      </c>
      <c r="U31">
        <v>444</v>
      </c>
      <c r="V31" t="s">
        <v>280</v>
      </c>
      <c r="W31">
        <v>110000</v>
      </c>
      <c r="X31">
        <v>80000000</v>
      </c>
      <c r="Y31" t="s">
        <v>97</v>
      </c>
      <c r="Z31">
        <v>2025</v>
      </c>
      <c r="AA31">
        <v>5</v>
      </c>
      <c r="AB31">
        <v>2020</v>
      </c>
      <c r="AC31" t="s">
        <v>103</v>
      </c>
      <c r="AD31" t="s">
        <v>104</v>
      </c>
      <c r="AE31">
        <v>4</v>
      </c>
      <c r="AF31">
        <v>3</v>
      </c>
      <c r="AG31">
        <v>2</v>
      </c>
      <c r="AH31" t="s">
        <v>278</v>
      </c>
      <c r="AI31" t="s">
        <v>281</v>
      </c>
      <c r="AJ31" t="s">
        <v>97</v>
      </c>
      <c r="AK31">
        <v>23</v>
      </c>
      <c r="AL31" t="s">
        <v>107</v>
      </c>
      <c r="AM31" t="s">
        <v>107</v>
      </c>
      <c r="AN31">
        <v>55</v>
      </c>
      <c r="AO31">
        <v>73</v>
      </c>
      <c r="AP31">
        <v>77</v>
      </c>
      <c r="AQ31">
        <v>77</v>
      </c>
      <c r="AR31">
        <v>80</v>
      </c>
      <c r="AS31">
        <v>82</v>
      </c>
      <c r="AT31">
        <v>68</v>
      </c>
      <c r="AU31">
        <v>68</v>
      </c>
      <c r="AV31">
        <v>65</v>
      </c>
      <c r="AW31">
        <v>83</v>
      </c>
      <c r="AX31">
        <v>64</v>
      </c>
      <c r="AY31">
        <v>78</v>
      </c>
      <c r="AZ31">
        <v>70</v>
      </c>
      <c r="BA31">
        <v>74</v>
      </c>
      <c r="BB31">
        <v>81</v>
      </c>
      <c r="BC31">
        <v>80</v>
      </c>
      <c r="BD31">
        <v>56</v>
      </c>
      <c r="BE31">
        <v>54</v>
      </c>
      <c r="BF31">
        <v>65</v>
      </c>
      <c r="BG31">
        <v>84</v>
      </c>
      <c r="BH31">
        <v>67</v>
      </c>
      <c r="BI31">
        <v>85</v>
      </c>
      <c r="BJ31">
        <v>65</v>
      </c>
      <c r="BK31">
        <v>87</v>
      </c>
      <c r="BL31">
        <v>79</v>
      </c>
      <c r="BM31">
        <v>80</v>
      </c>
      <c r="BN31">
        <v>87</v>
      </c>
      <c r="BO31">
        <v>82</v>
      </c>
      <c r="BP31">
        <v>68</v>
      </c>
      <c r="BQ31">
        <v>73</v>
      </c>
      <c r="BR31">
        <v>56</v>
      </c>
      <c r="BS31">
        <v>84</v>
      </c>
      <c r="BT31">
        <v>83</v>
      </c>
      <c r="BU31">
        <v>84</v>
      </c>
      <c r="BV31">
        <v>72</v>
      </c>
      <c r="BW31">
        <v>9</v>
      </c>
      <c r="BX31">
        <v>7</v>
      </c>
      <c r="BY31">
        <v>12</v>
      </c>
      <c r="BZ31">
        <v>11</v>
      </c>
      <c r="CA31">
        <v>11</v>
      </c>
      <c r="CB31">
        <v>75</v>
      </c>
      <c r="CC31">
        <v>73</v>
      </c>
      <c r="CD31">
        <v>74</v>
      </c>
      <c r="CE31">
        <v>74</v>
      </c>
      <c r="CF31">
        <v>74</v>
      </c>
      <c r="CG31">
        <v>73</v>
      </c>
      <c r="CH31">
        <v>77</v>
      </c>
      <c r="CI31">
        <v>76</v>
      </c>
      <c r="CJ31">
        <v>82</v>
      </c>
      <c r="CK31">
        <v>76</v>
      </c>
      <c r="CL31">
        <v>79</v>
      </c>
      <c r="CM31">
        <v>84</v>
      </c>
      <c r="CN31">
        <v>79</v>
      </c>
      <c r="CO31">
        <v>78</v>
      </c>
      <c r="CP31">
        <v>81</v>
      </c>
      <c r="CQ31">
        <v>78</v>
      </c>
      <c r="CR31">
        <v>20</v>
      </c>
    </row>
    <row r="32" spans="1:96">
      <c r="A32">
        <v>31</v>
      </c>
      <c r="B32" t="s">
        <v>282</v>
      </c>
      <c r="C32" t="s">
        <v>96</v>
      </c>
      <c r="D32" t="s">
        <v>133</v>
      </c>
      <c r="E32" t="s">
        <v>275</v>
      </c>
      <c r="F32">
        <v>84</v>
      </c>
      <c r="G32">
        <v>30</v>
      </c>
      <c r="H32" t="s">
        <v>239</v>
      </c>
      <c r="I32" t="s">
        <v>237</v>
      </c>
      <c r="J32">
        <v>82</v>
      </c>
      <c r="K32">
        <v>84</v>
      </c>
      <c r="L32">
        <v>38000000</v>
      </c>
      <c r="M32" t="s">
        <v>240</v>
      </c>
      <c r="N32" t="s">
        <v>133</v>
      </c>
      <c r="O32" t="s">
        <v>167</v>
      </c>
      <c r="P32" t="s">
        <v>241</v>
      </c>
      <c r="Q32">
        <v>25</v>
      </c>
      <c r="R32">
        <v>175</v>
      </c>
      <c r="S32">
        <v>73</v>
      </c>
      <c r="T32">
        <v>2090</v>
      </c>
      <c r="U32">
        <v>436</v>
      </c>
      <c r="V32" t="s">
        <v>238</v>
      </c>
      <c r="W32">
        <v>100000</v>
      </c>
      <c r="X32">
        <v>75100000</v>
      </c>
      <c r="Y32" t="s">
        <v>242</v>
      </c>
      <c r="Z32">
        <v>2024</v>
      </c>
      <c r="AA32">
        <v>10</v>
      </c>
      <c r="AB32">
        <v>2018</v>
      </c>
      <c r="AC32" t="s">
        <v>103</v>
      </c>
      <c r="AD32" t="s">
        <v>104</v>
      </c>
      <c r="AE32">
        <v>4</v>
      </c>
      <c r="AF32">
        <v>4</v>
      </c>
      <c r="AG32">
        <v>1</v>
      </c>
      <c r="AH32" t="s">
        <v>103</v>
      </c>
      <c r="AI32" t="s">
        <v>170</v>
      </c>
      <c r="AJ32" t="s">
        <v>103</v>
      </c>
      <c r="AK32" t="s">
        <v>103</v>
      </c>
      <c r="AL32" t="s">
        <v>107</v>
      </c>
      <c r="AM32" t="s">
        <v>116</v>
      </c>
      <c r="AN32">
        <v>73</v>
      </c>
      <c r="AO32">
        <v>78</v>
      </c>
      <c r="AP32">
        <v>84</v>
      </c>
      <c r="AQ32">
        <v>85</v>
      </c>
      <c r="AR32">
        <v>54</v>
      </c>
      <c r="AS32">
        <v>62</v>
      </c>
      <c r="AT32">
        <v>81</v>
      </c>
      <c r="AU32">
        <v>76</v>
      </c>
      <c r="AV32">
        <v>35</v>
      </c>
      <c r="AW32">
        <v>84</v>
      </c>
      <c r="AX32">
        <v>73</v>
      </c>
      <c r="AY32">
        <v>85</v>
      </c>
      <c r="AZ32">
        <v>86</v>
      </c>
      <c r="BA32">
        <v>84</v>
      </c>
      <c r="BB32">
        <v>83</v>
      </c>
      <c r="BC32">
        <v>86</v>
      </c>
      <c r="BD32">
        <v>77</v>
      </c>
      <c r="BE32">
        <v>69</v>
      </c>
      <c r="BF32">
        <v>84</v>
      </c>
      <c r="BG32">
        <v>78</v>
      </c>
      <c r="BH32">
        <v>83</v>
      </c>
      <c r="BI32">
        <v>83</v>
      </c>
      <c r="BJ32">
        <v>51</v>
      </c>
      <c r="BK32">
        <v>76</v>
      </c>
      <c r="BL32">
        <v>53</v>
      </c>
      <c r="BM32">
        <v>80</v>
      </c>
      <c r="BN32">
        <v>68</v>
      </c>
      <c r="BO32">
        <v>44</v>
      </c>
      <c r="BP32">
        <v>81</v>
      </c>
      <c r="BQ32">
        <v>85</v>
      </c>
      <c r="BR32">
        <v>74</v>
      </c>
      <c r="BS32">
        <v>84</v>
      </c>
      <c r="BT32">
        <v>59</v>
      </c>
      <c r="BU32">
        <v>65</v>
      </c>
      <c r="BV32">
        <v>42</v>
      </c>
      <c r="BW32">
        <v>11</v>
      </c>
      <c r="BX32">
        <v>14</v>
      </c>
      <c r="BY32">
        <v>14</v>
      </c>
      <c r="BZ32">
        <v>12</v>
      </c>
      <c r="CA32">
        <v>14</v>
      </c>
      <c r="CB32">
        <v>76</v>
      </c>
      <c r="CC32">
        <v>81</v>
      </c>
      <c r="CD32">
        <v>80</v>
      </c>
      <c r="CE32">
        <v>80</v>
      </c>
      <c r="CF32">
        <v>80</v>
      </c>
      <c r="CG32">
        <v>81</v>
      </c>
      <c r="CH32">
        <v>84</v>
      </c>
      <c r="CI32">
        <v>83</v>
      </c>
      <c r="CJ32">
        <v>82</v>
      </c>
      <c r="CK32">
        <v>83</v>
      </c>
      <c r="CL32">
        <v>71</v>
      </c>
      <c r="CM32">
        <v>71</v>
      </c>
      <c r="CN32">
        <v>71</v>
      </c>
      <c r="CO32">
        <v>67</v>
      </c>
      <c r="CP32">
        <v>59</v>
      </c>
      <c r="CQ32">
        <v>67</v>
      </c>
      <c r="CR32">
        <v>22</v>
      </c>
    </row>
    <row r="33" spans="1:96">
      <c r="A33">
        <v>32</v>
      </c>
      <c r="B33" t="s">
        <v>283</v>
      </c>
      <c r="C33" t="s">
        <v>96</v>
      </c>
      <c r="D33" t="s">
        <v>97</v>
      </c>
      <c r="E33" t="s">
        <v>284</v>
      </c>
      <c r="F33">
        <v>84</v>
      </c>
      <c r="G33">
        <v>30</v>
      </c>
      <c r="H33" t="s">
        <v>285</v>
      </c>
      <c r="I33" t="s">
        <v>286</v>
      </c>
      <c r="J33">
        <v>84</v>
      </c>
      <c r="K33">
        <v>84</v>
      </c>
      <c r="L33">
        <v>42000000</v>
      </c>
      <c r="M33" t="s">
        <v>97</v>
      </c>
      <c r="N33" t="s">
        <v>97</v>
      </c>
      <c r="O33" t="s">
        <v>287</v>
      </c>
      <c r="P33" t="s">
        <v>288</v>
      </c>
      <c r="Q33">
        <v>28</v>
      </c>
      <c r="R33">
        <v>180</v>
      </c>
      <c r="S33">
        <v>70</v>
      </c>
      <c r="T33">
        <v>2240</v>
      </c>
      <c r="U33">
        <v>476</v>
      </c>
      <c r="V33" t="s">
        <v>256</v>
      </c>
      <c r="W33">
        <v>85000</v>
      </c>
      <c r="X33">
        <v>86100000</v>
      </c>
      <c r="Y33" t="s">
        <v>97</v>
      </c>
      <c r="Z33">
        <v>2026</v>
      </c>
      <c r="AA33">
        <v>5</v>
      </c>
      <c r="AB33">
        <v>2021</v>
      </c>
      <c r="AC33" t="s">
        <v>103</v>
      </c>
      <c r="AD33" t="s">
        <v>104</v>
      </c>
      <c r="AE33">
        <v>3</v>
      </c>
      <c r="AF33">
        <v>4</v>
      </c>
      <c r="AG33">
        <v>1</v>
      </c>
      <c r="AH33" t="s">
        <v>287</v>
      </c>
      <c r="AI33" t="s">
        <v>289</v>
      </c>
      <c r="AJ33" t="s">
        <v>97</v>
      </c>
      <c r="AK33">
        <v>7</v>
      </c>
      <c r="AL33" t="s">
        <v>107</v>
      </c>
      <c r="AM33" t="s">
        <v>116</v>
      </c>
      <c r="AN33">
        <v>78</v>
      </c>
      <c r="AO33">
        <v>77</v>
      </c>
      <c r="AP33">
        <v>83</v>
      </c>
      <c r="AQ33">
        <v>82</v>
      </c>
      <c r="AR33">
        <v>75</v>
      </c>
      <c r="AS33">
        <v>81</v>
      </c>
      <c r="AT33">
        <v>78</v>
      </c>
      <c r="AU33">
        <v>76</v>
      </c>
      <c r="AV33">
        <v>58</v>
      </c>
      <c r="AW33">
        <v>85</v>
      </c>
      <c r="AX33">
        <v>71</v>
      </c>
      <c r="AY33">
        <v>82</v>
      </c>
      <c r="AZ33">
        <v>84</v>
      </c>
      <c r="BA33">
        <v>76</v>
      </c>
      <c r="BB33">
        <v>85</v>
      </c>
      <c r="BC33">
        <v>85</v>
      </c>
      <c r="BD33">
        <v>80</v>
      </c>
      <c r="BE33">
        <v>76</v>
      </c>
      <c r="BF33">
        <v>78</v>
      </c>
      <c r="BG33">
        <v>81</v>
      </c>
      <c r="BH33">
        <v>80</v>
      </c>
      <c r="BI33">
        <v>80</v>
      </c>
      <c r="BJ33">
        <v>68</v>
      </c>
      <c r="BK33">
        <v>91</v>
      </c>
      <c r="BL33">
        <v>80</v>
      </c>
      <c r="BM33">
        <v>78</v>
      </c>
      <c r="BN33">
        <v>76</v>
      </c>
      <c r="BO33">
        <v>79</v>
      </c>
      <c r="BP33">
        <v>78</v>
      </c>
      <c r="BQ33">
        <v>86</v>
      </c>
      <c r="BR33">
        <v>66</v>
      </c>
      <c r="BS33">
        <v>81</v>
      </c>
      <c r="BT33">
        <v>71</v>
      </c>
      <c r="BU33">
        <v>81</v>
      </c>
      <c r="BV33">
        <v>75</v>
      </c>
      <c r="BW33">
        <v>13</v>
      </c>
      <c r="BX33">
        <v>12</v>
      </c>
      <c r="BY33">
        <v>10</v>
      </c>
      <c r="BZ33">
        <v>7</v>
      </c>
      <c r="CA33">
        <v>14</v>
      </c>
      <c r="CB33">
        <v>79</v>
      </c>
      <c r="CC33">
        <v>81</v>
      </c>
      <c r="CD33">
        <v>81</v>
      </c>
      <c r="CE33">
        <v>81</v>
      </c>
      <c r="CF33">
        <v>81</v>
      </c>
      <c r="CG33">
        <v>81</v>
      </c>
      <c r="CH33">
        <v>84</v>
      </c>
      <c r="CI33">
        <v>84</v>
      </c>
      <c r="CJ33">
        <v>84</v>
      </c>
      <c r="CK33">
        <v>84</v>
      </c>
      <c r="CL33">
        <v>82</v>
      </c>
      <c r="CM33">
        <v>83</v>
      </c>
      <c r="CN33">
        <v>82</v>
      </c>
      <c r="CO33">
        <v>81</v>
      </c>
      <c r="CP33">
        <v>78</v>
      </c>
      <c r="CQ33">
        <v>81</v>
      </c>
      <c r="CR33">
        <v>21</v>
      </c>
    </row>
    <row r="34" spans="1:96">
      <c r="A34">
        <v>33</v>
      </c>
      <c r="B34" t="s">
        <v>290</v>
      </c>
      <c r="C34" t="s">
        <v>96</v>
      </c>
      <c r="D34" t="s">
        <v>291</v>
      </c>
      <c r="E34" t="s">
        <v>284</v>
      </c>
      <c r="F34">
        <v>84</v>
      </c>
      <c r="G34">
        <v>30</v>
      </c>
      <c r="H34" t="s">
        <v>292</v>
      </c>
      <c r="I34" t="s">
        <v>293</v>
      </c>
      <c r="J34">
        <v>85</v>
      </c>
      <c r="K34">
        <v>85</v>
      </c>
      <c r="L34">
        <v>54500000</v>
      </c>
      <c r="M34" t="s">
        <v>291</v>
      </c>
      <c r="N34" t="s">
        <v>291</v>
      </c>
      <c r="O34" t="s">
        <v>101</v>
      </c>
      <c r="P34" t="s">
        <v>294</v>
      </c>
      <c r="Q34">
        <v>28</v>
      </c>
      <c r="R34">
        <v>181</v>
      </c>
      <c r="S34">
        <v>73</v>
      </c>
      <c r="T34">
        <v>2153</v>
      </c>
      <c r="U34">
        <v>458</v>
      </c>
      <c r="V34" t="s">
        <v>256</v>
      </c>
      <c r="W34">
        <v>90000</v>
      </c>
      <c r="X34">
        <v>111700000</v>
      </c>
      <c r="Y34" t="s">
        <v>291</v>
      </c>
      <c r="Z34">
        <v>2024</v>
      </c>
      <c r="AA34">
        <v>21</v>
      </c>
      <c r="AB34">
        <v>2020</v>
      </c>
      <c r="AC34" t="s">
        <v>103</v>
      </c>
      <c r="AD34" t="s">
        <v>104</v>
      </c>
      <c r="AE34">
        <v>4</v>
      </c>
      <c r="AF34">
        <v>4</v>
      </c>
      <c r="AG34">
        <v>3</v>
      </c>
      <c r="AH34" t="s">
        <v>101</v>
      </c>
      <c r="AI34" t="s">
        <v>105</v>
      </c>
      <c r="AJ34" t="s">
        <v>291</v>
      </c>
      <c r="AK34">
        <v>11</v>
      </c>
      <c r="AL34" t="s">
        <v>107</v>
      </c>
      <c r="AM34" t="s">
        <v>107</v>
      </c>
      <c r="AN34">
        <v>89</v>
      </c>
      <c r="AO34">
        <v>82</v>
      </c>
      <c r="AP34">
        <v>80</v>
      </c>
      <c r="AQ34">
        <v>87</v>
      </c>
      <c r="AR34">
        <v>53</v>
      </c>
      <c r="AS34">
        <v>67</v>
      </c>
      <c r="AT34">
        <v>81</v>
      </c>
      <c r="AU34">
        <v>81</v>
      </c>
      <c r="AV34">
        <v>53</v>
      </c>
      <c r="AW34">
        <v>80</v>
      </c>
      <c r="AX34">
        <v>74</v>
      </c>
      <c r="AY34">
        <v>90</v>
      </c>
      <c r="AZ34">
        <v>87</v>
      </c>
      <c r="BA34">
        <v>80</v>
      </c>
      <c r="BB34">
        <v>74</v>
      </c>
      <c r="BC34">
        <v>86</v>
      </c>
      <c r="BD34">
        <v>89</v>
      </c>
      <c r="BE34">
        <v>89</v>
      </c>
      <c r="BF34">
        <v>87</v>
      </c>
      <c r="BG34">
        <v>81</v>
      </c>
      <c r="BH34">
        <v>71</v>
      </c>
      <c r="BI34">
        <v>85</v>
      </c>
      <c r="BJ34">
        <v>71</v>
      </c>
      <c r="BK34">
        <v>79</v>
      </c>
      <c r="BL34">
        <v>61</v>
      </c>
      <c r="BM34">
        <v>82</v>
      </c>
      <c r="BN34">
        <v>65</v>
      </c>
      <c r="BO34">
        <v>47</v>
      </c>
      <c r="BP34">
        <v>82</v>
      </c>
      <c r="BQ34">
        <v>80</v>
      </c>
      <c r="BR34">
        <v>81</v>
      </c>
      <c r="BS34">
        <v>84</v>
      </c>
      <c r="BT34">
        <v>44</v>
      </c>
      <c r="BU34">
        <v>64</v>
      </c>
      <c r="BV34">
        <v>60</v>
      </c>
      <c r="BW34">
        <v>9</v>
      </c>
      <c r="BX34">
        <v>11</v>
      </c>
      <c r="BY34">
        <v>9</v>
      </c>
      <c r="BZ34">
        <v>10</v>
      </c>
      <c r="CA34">
        <v>10</v>
      </c>
      <c r="CB34">
        <v>82</v>
      </c>
      <c r="CC34">
        <v>84</v>
      </c>
      <c r="CD34">
        <v>83</v>
      </c>
      <c r="CE34">
        <v>83</v>
      </c>
      <c r="CF34">
        <v>83</v>
      </c>
      <c r="CG34">
        <v>84</v>
      </c>
      <c r="CH34">
        <v>85</v>
      </c>
      <c r="CI34">
        <v>85</v>
      </c>
      <c r="CJ34">
        <v>82</v>
      </c>
      <c r="CK34">
        <v>85</v>
      </c>
      <c r="CL34">
        <v>75</v>
      </c>
      <c r="CM34">
        <v>71</v>
      </c>
      <c r="CN34">
        <v>75</v>
      </c>
      <c r="CO34">
        <v>72</v>
      </c>
      <c r="CP34">
        <v>64</v>
      </c>
      <c r="CQ34">
        <v>72</v>
      </c>
      <c r="CR34">
        <v>21</v>
      </c>
    </row>
    <row r="35" spans="1:96">
      <c r="A35">
        <v>34</v>
      </c>
      <c r="B35" t="s">
        <v>295</v>
      </c>
      <c r="C35" t="s">
        <v>96</v>
      </c>
      <c r="D35" t="s">
        <v>109</v>
      </c>
      <c r="E35" t="s">
        <v>296</v>
      </c>
      <c r="F35">
        <v>83</v>
      </c>
      <c r="G35">
        <v>20</v>
      </c>
      <c r="H35" t="s">
        <v>297</v>
      </c>
      <c r="I35" t="s">
        <v>298</v>
      </c>
      <c r="J35">
        <v>81</v>
      </c>
      <c r="K35">
        <v>86</v>
      </c>
      <c r="L35">
        <v>38500000</v>
      </c>
      <c r="M35" t="s">
        <v>149</v>
      </c>
      <c r="N35" t="s">
        <v>97</v>
      </c>
      <c r="O35" t="s">
        <v>112</v>
      </c>
      <c r="P35" t="s">
        <v>299</v>
      </c>
      <c r="Q35">
        <v>24</v>
      </c>
      <c r="R35">
        <v>182</v>
      </c>
      <c r="S35">
        <v>74</v>
      </c>
      <c r="T35">
        <v>2110</v>
      </c>
      <c r="U35">
        <v>449</v>
      </c>
      <c r="V35" t="s">
        <v>264</v>
      </c>
      <c r="W35">
        <v>88000</v>
      </c>
      <c r="X35">
        <v>76000000</v>
      </c>
      <c r="Y35" t="s">
        <v>97</v>
      </c>
      <c r="Z35">
        <v>2026</v>
      </c>
      <c r="AA35">
        <v>39</v>
      </c>
      <c r="AB35">
        <v>2022</v>
      </c>
      <c r="AC35" t="s">
        <v>103</v>
      </c>
      <c r="AD35" t="s">
        <v>104</v>
      </c>
      <c r="AE35">
        <v>2</v>
      </c>
      <c r="AF35">
        <v>3</v>
      </c>
      <c r="AG35">
        <v>2</v>
      </c>
      <c r="AH35" t="s">
        <v>103</v>
      </c>
      <c r="AI35" t="s">
        <v>115</v>
      </c>
      <c r="AJ35" t="s">
        <v>103</v>
      </c>
      <c r="AK35" t="s">
        <v>103</v>
      </c>
      <c r="AL35" t="s">
        <v>107</v>
      </c>
      <c r="AM35" t="s">
        <v>107</v>
      </c>
      <c r="AN35">
        <v>69</v>
      </c>
      <c r="AO35">
        <v>67</v>
      </c>
      <c r="AP35">
        <v>79</v>
      </c>
      <c r="AQ35">
        <v>81</v>
      </c>
      <c r="AR35">
        <v>76</v>
      </c>
      <c r="AS35">
        <v>77</v>
      </c>
      <c r="AT35">
        <v>68</v>
      </c>
      <c r="AU35">
        <v>68</v>
      </c>
      <c r="AV35">
        <v>61</v>
      </c>
      <c r="AW35">
        <v>84</v>
      </c>
      <c r="AX35">
        <v>66</v>
      </c>
      <c r="AY35">
        <v>81</v>
      </c>
      <c r="AZ35">
        <v>75</v>
      </c>
      <c r="BA35">
        <v>62</v>
      </c>
      <c r="BB35">
        <v>83</v>
      </c>
      <c r="BC35">
        <v>82</v>
      </c>
      <c r="BD35">
        <v>68</v>
      </c>
      <c r="BE35">
        <v>69</v>
      </c>
      <c r="BF35">
        <v>74</v>
      </c>
      <c r="BG35">
        <v>80</v>
      </c>
      <c r="BH35">
        <v>78</v>
      </c>
      <c r="BI35">
        <v>64</v>
      </c>
      <c r="BJ35">
        <v>62</v>
      </c>
      <c r="BK35">
        <v>84</v>
      </c>
      <c r="BL35">
        <v>75</v>
      </c>
      <c r="BM35">
        <v>67</v>
      </c>
      <c r="BN35">
        <v>77</v>
      </c>
      <c r="BO35">
        <v>78</v>
      </c>
      <c r="BP35">
        <v>72</v>
      </c>
      <c r="BQ35">
        <v>82</v>
      </c>
      <c r="BR35">
        <v>65</v>
      </c>
      <c r="BS35">
        <v>83</v>
      </c>
      <c r="BT35">
        <v>77</v>
      </c>
      <c r="BU35">
        <v>79</v>
      </c>
      <c r="BV35">
        <v>74</v>
      </c>
      <c r="BW35">
        <v>7</v>
      </c>
      <c r="BX35">
        <v>11</v>
      </c>
      <c r="BY35">
        <v>15</v>
      </c>
      <c r="BZ35">
        <v>11</v>
      </c>
      <c r="CA35">
        <v>11</v>
      </c>
      <c r="CB35">
        <v>74</v>
      </c>
      <c r="CC35">
        <v>76</v>
      </c>
      <c r="CD35">
        <v>76</v>
      </c>
      <c r="CE35">
        <v>76</v>
      </c>
      <c r="CF35">
        <v>76</v>
      </c>
      <c r="CG35">
        <v>76</v>
      </c>
      <c r="CH35">
        <v>80</v>
      </c>
      <c r="CI35">
        <v>79</v>
      </c>
      <c r="CJ35">
        <v>83</v>
      </c>
      <c r="CK35">
        <v>79</v>
      </c>
      <c r="CL35">
        <v>79</v>
      </c>
      <c r="CM35">
        <v>82</v>
      </c>
      <c r="CN35">
        <v>79</v>
      </c>
      <c r="CO35">
        <v>78</v>
      </c>
      <c r="CP35">
        <v>77</v>
      </c>
      <c r="CQ35">
        <v>78</v>
      </c>
      <c r="CR35">
        <v>20</v>
      </c>
    </row>
    <row r="36" spans="1:96">
      <c r="A36">
        <v>35</v>
      </c>
      <c r="B36" t="s">
        <v>300</v>
      </c>
      <c r="C36" t="s">
        <v>96</v>
      </c>
      <c r="D36" t="s">
        <v>109</v>
      </c>
      <c r="E36" t="s">
        <v>98</v>
      </c>
      <c r="F36">
        <v>83</v>
      </c>
      <c r="G36">
        <v>20</v>
      </c>
      <c r="H36" t="s">
        <v>300</v>
      </c>
      <c r="I36" t="s">
        <v>301</v>
      </c>
      <c r="J36">
        <v>87</v>
      </c>
      <c r="K36">
        <v>89</v>
      </c>
      <c r="L36">
        <v>88500000</v>
      </c>
      <c r="M36" t="s">
        <v>109</v>
      </c>
      <c r="N36" t="s">
        <v>109</v>
      </c>
      <c r="O36" t="s">
        <v>199</v>
      </c>
      <c r="P36" t="s">
        <v>302</v>
      </c>
      <c r="Q36">
        <v>26</v>
      </c>
      <c r="R36">
        <v>191</v>
      </c>
      <c r="S36">
        <v>82</v>
      </c>
      <c r="T36">
        <v>2133</v>
      </c>
      <c r="U36">
        <v>454</v>
      </c>
      <c r="V36" t="s">
        <v>98</v>
      </c>
      <c r="W36">
        <v>200000</v>
      </c>
      <c r="X36">
        <v>170400000</v>
      </c>
      <c r="Y36" t="s">
        <v>109</v>
      </c>
      <c r="Z36">
        <v>2027</v>
      </c>
      <c r="AA36">
        <v>16</v>
      </c>
      <c r="AB36">
        <v>2019</v>
      </c>
      <c r="AC36" t="s">
        <v>103</v>
      </c>
      <c r="AD36" t="s">
        <v>104</v>
      </c>
      <c r="AE36">
        <v>4</v>
      </c>
      <c r="AF36">
        <v>3</v>
      </c>
      <c r="AG36">
        <v>3</v>
      </c>
      <c r="AH36" t="s">
        <v>199</v>
      </c>
      <c r="AI36" t="s">
        <v>201</v>
      </c>
      <c r="AJ36" t="s">
        <v>114</v>
      </c>
      <c r="AK36">
        <v>16</v>
      </c>
      <c r="AL36" t="s">
        <v>116</v>
      </c>
      <c r="AM36" t="s">
        <v>107</v>
      </c>
      <c r="AN36">
        <v>58</v>
      </c>
      <c r="AO36">
        <v>72</v>
      </c>
      <c r="AP36">
        <v>78</v>
      </c>
      <c r="AQ36">
        <v>79</v>
      </c>
      <c r="AR36">
        <v>83</v>
      </c>
      <c r="AS36">
        <v>84</v>
      </c>
      <c r="AT36">
        <v>63</v>
      </c>
      <c r="AU36">
        <v>64</v>
      </c>
      <c r="AV36">
        <v>80</v>
      </c>
      <c r="AW36">
        <v>86</v>
      </c>
      <c r="AX36">
        <v>59</v>
      </c>
      <c r="AY36">
        <v>78</v>
      </c>
      <c r="AZ36">
        <v>65</v>
      </c>
      <c r="BA36">
        <v>61</v>
      </c>
      <c r="BB36">
        <v>83</v>
      </c>
      <c r="BC36">
        <v>85</v>
      </c>
      <c r="BD36">
        <v>54</v>
      </c>
      <c r="BE36">
        <v>62</v>
      </c>
      <c r="BF36">
        <v>65</v>
      </c>
      <c r="BG36">
        <v>82</v>
      </c>
      <c r="BH36">
        <v>65</v>
      </c>
      <c r="BI36">
        <v>89</v>
      </c>
      <c r="BJ36">
        <v>72</v>
      </c>
      <c r="BK36">
        <v>88</v>
      </c>
      <c r="BL36">
        <v>84</v>
      </c>
      <c r="BM36">
        <v>82</v>
      </c>
      <c r="BN36">
        <v>82</v>
      </c>
      <c r="BO36">
        <v>83</v>
      </c>
      <c r="BP36">
        <v>75</v>
      </c>
      <c r="BQ36">
        <v>83</v>
      </c>
      <c r="BR36">
        <v>46</v>
      </c>
      <c r="BS36">
        <v>85</v>
      </c>
      <c r="BT36">
        <v>84</v>
      </c>
      <c r="BU36">
        <v>86</v>
      </c>
      <c r="BV36">
        <v>78</v>
      </c>
      <c r="BW36">
        <v>10</v>
      </c>
      <c r="BX36">
        <v>10</v>
      </c>
      <c r="BY36">
        <v>7</v>
      </c>
      <c r="BZ36">
        <v>14</v>
      </c>
      <c r="CA36">
        <v>8</v>
      </c>
      <c r="CB36">
        <v>79</v>
      </c>
      <c r="CC36">
        <v>74</v>
      </c>
      <c r="CD36">
        <v>77</v>
      </c>
      <c r="CE36">
        <v>77</v>
      </c>
      <c r="CF36">
        <v>77</v>
      </c>
      <c r="CG36">
        <v>74</v>
      </c>
      <c r="CH36">
        <v>82</v>
      </c>
      <c r="CI36">
        <v>79</v>
      </c>
      <c r="CJ36">
        <v>86</v>
      </c>
      <c r="CK36">
        <v>79</v>
      </c>
      <c r="CL36">
        <v>82</v>
      </c>
      <c r="CM36">
        <v>87</v>
      </c>
      <c r="CN36">
        <v>82</v>
      </c>
      <c r="CO36">
        <v>82</v>
      </c>
      <c r="CP36">
        <v>85</v>
      </c>
      <c r="CQ36">
        <v>82</v>
      </c>
      <c r="CR36">
        <v>21</v>
      </c>
    </row>
    <row r="37" spans="1:96">
      <c r="A37">
        <v>36</v>
      </c>
      <c r="B37" t="s">
        <v>303</v>
      </c>
      <c r="C37" t="s">
        <v>96</v>
      </c>
      <c r="D37" t="s">
        <v>133</v>
      </c>
      <c r="E37" t="s">
        <v>110</v>
      </c>
      <c r="F37">
        <v>83</v>
      </c>
      <c r="G37">
        <v>20</v>
      </c>
      <c r="H37" t="s">
        <v>304</v>
      </c>
      <c r="I37" t="s">
        <v>303</v>
      </c>
      <c r="J37">
        <v>84</v>
      </c>
      <c r="K37">
        <v>87</v>
      </c>
      <c r="L37">
        <v>57500000</v>
      </c>
      <c r="M37" t="s">
        <v>305</v>
      </c>
      <c r="N37" t="s">
        <v>133</v>
      </c>
      <c r="O37" t="s">
        <v>167</v>
      </c>
      <c r="P37" t="s">
        <v>306</v>
      </c>
      <c r="Q37">
        <v>23</v>
      </c>
      <c r="R37">
        <v>180</v>
      </c>
      <c r="S37">
        <v>74</v>
      </c>
      <c r="T37">
        <v>2119</v>
      </c>
      <c r="U37">
        <v>444</v>
      </c>
      <c r="V37" t="s">
        <v>220</v>
      </c>
      <c r="W37">
        <v>130000</v>
      </c>
      <c r="X37">
        <v>110700000</v>
      </c>
      <c r="Y37" t="s">
        <v>136</v>
      </c>
      <c r="Z37">
        <v>2024</v>
      </c>
      <c r="AA37">
        <v>19</v>
      </c>
      <c r="AB37">
        <v>2016</v>
      </c>
      <c r="AC37" t="s">
        <v>103</v>
      </c>
      <c r="AD37" t="s">
        <v>104</v>
      </c>
      <c r="AE37">
        <v>4</v>
      </c>
      <c r="AF37">
        <v>3</v>
      </c>
      <c r="AG37">
        <v>3</v>
      </c>
      <c r="AH37" t="s">
        <v>167</v>
      </c>
      <c r="AI37" t="s">
        <v>170</v>
      </c>
      <c r="AJ37" t="s">
        <v>133</v>
      </c>
      <c r="AK37">
        <v>19</v>
      </c>
      <c r="AL37" t="s">
        <v>107</v>
      </c>
      <c r="AM37" t="s">
        <v>107</v>
      </c>
      <c r="AN37">
        <v>74</v>
      </c>
      <c r="AO37">
        <v>81</v>
      </c>
      <c r="AP37">
        <v>85</v>
      </c>
      <c r="AQ37">
        <v>82</v>
      </c>
      <c r="AR37">
        <v>55</v>
      </c>
      <c r="AS37">
        <v>67</v>
      </c>
      <c r="AT37">
        <v>83</v>
      </c>
      <c r="AU37">
        <v>81</v>
      </c>
      <c r="AV37">
        <v>59</v>
      </c>
      <c r="AW37">
        <v>87</v>
      </c>
      <c r="AX37">
        <v>75</v>
      </c>
      <c r="AY37">
        <v>82</v>
      </c>
      <c r="AZ37">
        <v>82</v>
      </c>
      <c r="BA37">
        <v>84</v>
      </c>
      <c r="BB37">
        <v>84</v>
      </c>
      <c r="BC37">
        <v>85</v>
      </c>
      <c r="BD37">
        <v>76</v>
      </c>
      <c r="BE37">
        <v>72</v>
      </c>
      <c r="BF37">
        <v>77</v>
      </c>
      <c r="BG37">
        <v>84</v>
      </c>
      <c r="BH37">
        <v>76</v>
      </c>
      <c r="BI37">
        <v>81</v>
      </c>
      <c r="BJ37">
        <v>54</v>
      </c>
      <c r="BK37">
        <v>86</v>
      </c>
      <c r="BL37">
        <v>58</v>
      </c>
      <c r="BM37">
        <v>83</v>
      </c>
      <c r="BN37">
        <v>68</v>
      </c>
      <c r="BO37">
        <v>59</v>
      </c>
      <c r="BP37">
        <v>82</v>
      </c>
      <c r="BQ37">
        <v>83</v>
      </c>
      <c r="BR37">
        <v>69</v>
      </c>
      <c r="BS37">
        <v>84</v>
      </c>
      <c r="BT37">
        <v>55</v>
      </c>
      <c r="BU37">
        <v>57</v>
      </c>
      <c r="BV37">
        <v>41</v>
      </c>
      <c r="BW37">
        <v>11</v>
      </c>
      <c r="BX37">
        <v>12</v>
      </c>
      <c r="BY37">
        <v>13</v>
      </c>
      <c r="BZ37">
        <v>8</v>
      </c>
      <c r="CA37">
        <v>12</v>
      </c>
      <c r="CB37">
        <v>81</v>
      </c>
      <c r="CC37">
        <v>82</v>
      </c>
      <c r="CD37">
        <v>82</v>
      </c>
      <c r="CE37">
        <v>82</v>
      </c>
      <c r="CF37">
        <v>82</v>
      </c>
      <c r="CG37">
        <v>82</v>
      </c>
      <c r="CH37">
        <v>86</v>
      </c>
      <c r="CI37">
        <v>85</v>
      </c>
      <c r="CJ37">
        <v>85</v>
      </c>
      <c r="CK37">
        <v>85</v>
      </c>
      <c r="CL37">
        <v>74</v>
      </c>
      <c r="CM37">
        <v>74</v>
      </c>
      <c r="CN37">
        <v>74</v>
      </c>
      <c r="CO37">
        <v>71</v>
      </c>
      <c r="CP37">
        <v>64</v>
      </c>
      <c r="CQ37">
        <v>71</v>
      </c>
      <c r="CR37">
        <v>22</v>
      </c>
    </row>
    <row r="38" spans="1:96">
      <c r="A38">
        <v>37</v>
      </c>
      <c r="B38" t="s">
        <v>307</v>
      </c>
      <c r="C38" t="s">
        <v>96</v>
      </c>
      <c r="D38" t="s">
        <v>133</v>
      </c>
      <c r="E38" t="s">
        <v>217</v>
      </c>
      <c r="F38">
        <v>83</v>
      </c>
      <c r="G38">
        <v>20</v>
      </c>
      <c r="H38" t="s">
        <v>308</v>
      </c>
      <c r="I38" t="s">
        <v>307</v>
      </c>
      <c r="J38">
        <v>84</v>
      </c>
      <c r="K38">
        <v>91</v>
      </c>
      <c r="L38">
        <v>84500000</v>
      </c>
      <c r="M38" t="s">
        <v>309</v>
      </c>
      <c r="N38" t="s">
        <v>133</v>
      </c>
      <c r="O38" t="s">
        <v>127</v>
      </c>
      <c r="P38" t="s">
        <v>310</v>
      </c>
      <c r="Q38">
        <v>23</v>
      </c>
      <c r="R38">
        <v>189</v>
      </c>
      <c r="S38">
        <v>82</v>
      </c>
      <c r="T38">
        <v>2042</v>
      </c>
      <c r="U38">
        <v>434</v>
      </c>
      <c r="V38" t="s">
        <v>220</v>
      </c>
      <c r="W38">
        <v>130000</v>
      </c>
      <c r="X38">
        <v>173200000</v>
      </c>
      <c r="Y38" t="s">
        <v>311</v>
      </c>
      <c r="Z38">
        <v>2025</v>
      </c>
      <c r="AA38">
        <v>29</v>
      </c>
      <c r="AB38">
        <v>2020</v>
      </c>
      <c r="AC38" t="s">
        <v>103</v>
      </c>
      <c r="AD38" t="s">
        <v>137</v>
      </c>
      <c r="AE38">
        <v>4</v>
      </c>
      <c r="AF38">
        <v>4</v>
      </c>
      <c r="AG38">
        <v>3</v>
      </c>
      <c r="AH38" t="s">
        <v>127</v>
      </c>
      <c r="AI38" t="s">
        <v>129</v>
      </c>
      <c r="AJ38" t="s">
        <v>114</v>
      </c>
      <c r="AK38">
        <v>7</v>
      </c>
      <c r="AL38" t="s">
        <v>116</v>
      </c>
      <c r="AM38" t="s">
        <v>116</v>
      </c>
      <c r="AN38">
        <v>81</v>
      </c>
      <c r="AO38">
        <v>79</v>
      </c>
      <c r="AP38">
        <v>79</v>
      </c>
      <c r="AQ38">
        <v>84</v>
      </c>
      <c r="AR38">
        <v>45</v>
      </c>
      <c r="AS38">
        <v>66</v>
      </c>
      <c r="AT38">
        <v>74</v>
      </c>
      <c r="AU38">
        <v>81</v>
      </c>
      <c r="AV38">
        <v>80</v>
      </c>
      <c r="AW38">
        <v>84</v>
      </c>
      <c r="AX38">
        <v>80</v>
      </c>
      <c r="AY38">
        <v>85</v>
      </c>
      <c r="AZ38">
        <v>84</v>
      </c>
      <c r="BA38">
        <v>53</v>
      </c>
      <c r="BB38">
        <v>79</v>
      </c>
      <c r="BC38">
        <v>85</v>
      </c>
      <c r="BD38">
        <v>76</v>
      </c>
      <c r="BE38">
        <v>85</v>
      </c>
      <c r="BF38">
        <v>77</v>
      </c>
      <c r="BG38">
        <v>84</v>
      </c>
      <c r="BH38">
        <v>75</v>
      </c>
      <c r="BI38">
        <v>74</v>
      </c>
      <c r="BJ38">
        <v>75</v>
      </c>
      <c r="BK38">
        <v>77</v>
      </c>
      <c r="BL38">
        <v>69</v>
      </c>
      <c r="BM38">
        <v>78</v>
      </c>
      <c r="BN38">
        <v>42</v>
      </c>
      <c r="BO38">
        <v>38</v>
      </c>
      <c r="BP38">
        <v>82</v>
      </c>
      <c r="BQ38">
        <v>82</v>
      </c>
      <c r="BR38">
        <v>73</v>
      </c>
      <c r="BS38">
        <v>84</v>
      </c>
      <c r="BT38">
        <v>39</v>
      </c>
      <c r="BU38">
        <v>46</v>
      </c>
      <c r="BV38">
        <v>38</v>
      </c>
      <c r="BW38">
        <v>6</v>
      </c>
      <c r="BX38">
        <v>8</v>
      </c>
      <c r="BY38">
        <v>11</v>
      </c>
      <c r="BZ38">
        <v>10</v>
      </c>
      <c r="CA38">
        <v>12</v>
      </c>
      <c r="CB38">
        <v>84</v>
      </c>
      <c r="CC38">
        <v>82</v>
      </c>
      <c r="CD38">
        <v>82</v>
      </c>
      <c r="CE38">
        <v>82</v>
      </c>
      <c r="CF38">
        <v>82</v>
      </c>
      <c r="CG38">
        <v>82</v>
      </c>
      <c r="CH38">
        <v>86</v>
      </c>
      <c r="CI38">
        <v>85</v>
      </c>
      <c r="CJ38">
        <v>81</v>
      </c>
      <c r="CK38">
        <v>85</v>
      </c>
      <c r="CL38">
        <v>68</v>
      </c>
      <c r="CM38">
        <v>66</v>
      </c>
      <c r="CN38">
        <v>68</v>
      </c>
      <c r="CO38">
        <v>65</v>
      </c>
      <c r="CP38">
        <v>59</v>
      </c>
      <c r="CQ38">
        <v>65</v>
      </c>
      <c r="CR38">
        <v>20</v>
      </c>
    </row>
    <row r="39" spans="1:96">
      <c r="A39">
        <v>38</v>
      </c>
      <c r="B39" t="s">
        <v>312</v>
      </c>
      <c r="C39" t="s">
        <v>96</v>
      </c>
      <c r="D39" t="s">
        <v>97</v>
      </c>
      <c r="E39" t="s">
        <v>98</v>
      </c>
      <c r="F39">
        <v>83</v>
      </c>
      <c r="G39">
        <v>20</v>
      </c>
      <c r="H39" t="s">
        <v>313</v>
      </c>
      <c r="I39" t="s">
        <v>314</v>
      </c>
      <c r="J39">
        <v>84</v>
      </c>
      <c r="K39">
        <v>84</v>
      </c>
      <c r="L39">
        <v>42000000</v>
      </c>
      <c r="M39" t="s">
        <v>97</v>
      </c>
      <c r="N39" t="s">
        <v>97</v>
      </c>
      <c r="O39" t="s">
        <v>121</v>
      </c>
      <c r="P39" t="s">
        <v>315</v>
      </c>
      <c r="Q39">
        <v>28</v>
      </c>
      <c r="R39">
        <v>176</v>
      </c>
      <c r="S39">
        <v>80</v>
      </c>
      <c r="T39">
        <v>2141</v>
      </c>
      <c r="U39">
        <v>452</v>
      </c>
      <c r="V39" t="s">
        <v>220</v>
      </c>
      <c r="W39">
        <v>155000</v>
      </c>
      <c r="X39">
        <v>77700000</v>
      </c>
      <c r="Y39" t="s">
        <v>114</v>
      </c>
      <c r="Z39">
        <v>2024</v>
      </c>
      <c r="AA39">
        <v>8</v>
      </c>
      <c r="AB39">
        <v>2019</v>
      </c>
      <c r="AC39" t="s">
        <v>103</v>
      </c>
      <c r="AD39" t="s">
        <v>104</v>
      </c>
      <c r="AE39">
        <v>4</v>
      </c>
      <c r="AF39">
        <v>4</v>
      </c>
      <c r="AG39">
        <v>3</v>
      </c>
      <c r="AH39" t="s">
        <v>121</v>
      </c>
      <c r="AI39" t="s">
        <v>124</v>
      </c>
      <c r="AJ39" t="s">
        <v>97</v>
      </c>
      <c r="AK39">
        <v>8</v>
      </c>
      <c r="AL39" t="s">
        <v>107</v>
      </c>
      <c r="AM39" t="s">
        <v>107</v>
      </c>
      <c r="AN39">
        <v>70</v>
      </c>
      <c r="AO39">
        <v>69</v>
      </c>
      <c r="AP39">
        <v>83</v>
      </c>
      <c r="AQ39">
        <v>88</v>
      </c>
      <c r="AR39">
        <v>71</v>
      </c>
      <c r="AS39">
        <v>71</v>
      </c>
      <c r="AT39">
        <v>73</v>
      </c>
      <c r="AU39">
        <v>61</v>
      </c>
      <c r="AV39">
        <v>42</v>
      </c>
      <c r="AW39">
        <v>90</v>
      </c>
      <c r="AX39">
        <v>76</v>
      </c>
      <c r="AY39">
        <v>89</v>
      </c>
      <c r="AZ39">
        <v>79</v>
      </c>
      <c r="BA39">
        <v>70</v>
      </c>
      <c r="BB39">
        <v>84</v>
      </c>
      <c r="BC39">
        <v>89</v>
      </c>
      <c r="BD39">
        <v>77</v>
      </c>
      <c r="BE39">
        <v>65</v>
      </c>
      <c r="BF39">
        <v>86</v>
      </c>
      <c r="BG39">
        <v>82</v>
      </c>
      <c r="BH39">
        <v>84</v>
      </c>
      <c r="BI39">
        <v>79</v>
      </c>
      <c r="BJ39">
        <v>75</v>
      </c>
      <c r="BK39">
        <v>79</v>
      </c>
      <c r="BL39">
        <v>65</v>
      </c>
      <c r="BM39">
        <v>75</v>
      </c>
      <c r="BN39">
        <v>77</v>
      </c>
      <c r="BO39">
        <v>75</v>
      </c>
      <c r="BP39">
        <v>73</v>
      </c>
      <c r="BQ39">
        <v>86</v>
      </c>
      <c r="BR39">
        <v>59</v>
      </c>
      <c r="BS39">
        <v>84</v>
      </c>
      <c r="BT39">
        <v>73</v>
      </c>
      <c r="BU39">
        <v>76</v>
      </c>
      <c r="BV39">
        <v>68</v>
      </c>
      <c r="BW39">
        <v>9</v>
      </c>
      <c r="BX39">
        <v>5</v>
      </c>
      <c r="BY39">
        <v>6</v>
      </c>
      <c r="BZ39">
        <v>7</v>
      </c>
      <c r="CA39">
        <v>7</v>
      </c>
      <c r="CB39">
        <v>75</v>
      </c>
      <c r="CC39">
        <v>80</v>
      </c>
      <c r="CD39">
        <v>79</v>
      </c>
      <c r="CE39">
        <v>79</v>
      </c>
      <c r="CF39">
        <v>79</v>
      </c>
      <c r="CG39">
        <v>80</v>
      </c>
      <c r="CH39">
        <v>84</v>
      </c>
      <c r="CI39">
        <v>84</v>
      </c>
      <c r="CJ39">
        <v>84</v>
      </c>
      <c r="CK39">
        <v>84</v>
      </c>
      <c r="CL39">
        <v>81</v>
      </c>
      <c r="CM39">
        <v>83</v>
      </c>
      <c r="CN39">
        <v>81</v>
      </c>
      <c r="CO39">
        <v>78</v>
      </c>
      <c r="CP39">
        <v>74</v>
      </c>
      <c r="CQ39">
        <v>78</v>
      </c>
      <c r="CR39">
        <v>18</v>
      </c>
    </row>
    <row r="40" spans="1:96">
      <c r="A40">
        <v>39</v>
      </c>
      <c r="B40" t="s">
        <v>316</v>
      </c>
      <c r="C40" t="s">
        <v>96</v>
      </c>
      <c r="D40" t="s">
        <v>291</v>
      </c>
      <c r="E40" t="s">
        <v>284</v>
      </c>
      <c r="F40">
        <v>83</v>
      </c>
      <c r="G40">
        <v>20</v>
      </c>
      <c r="H40" t="s">
        <v>317</v>
      </c>
      <c r="I40" t="s">
        <v>316</v>
      </c>
      <c r="J40">
        <v>83</v>
      </c>
      <c r="K40">
        <v>86</v>
      </c>
      <c r="L40">
        <v>47000000</v>
      </c>
      <c r="M40" t="s">
        <v>318</v>
      </c>
      <c r="N40" t="s">
        <v>133</v>
      </c>
      <c r="O40" t="s">
        <v>319</v>
      </c>
      <c r="P40" t="s">
        <v>320</v>
      </c>
      <c r="Q40">
        <v>26</v>
      </c>
      <c r="R40">
        <v>171</v>
      </c>
      <c r="S40">
        <v>66</v>
      </c>
      <c r="T40">
        <v>2215</v>
      </c>
      <c r="U40">
        <v>462</v>
      </c>
      <c r="V40" t="s">
        <v>256</v>
      </c>
      <c r="W40">
        <v>74000</v>
      </c>
      <c r="X40">
        <v>99900000</v>
      </c>
      <c r="Y40" t="s">
        <v>114</v>
      </c>
      <c r="Z40">
        <v>2023</v>
      </c>
      <c r="AA40">
        <v>11</v>
      </c>
      <c r="AB40">
        <v>2018</v>
      </c>
      <c r="AC40" t="s">
        <v>103</v>
      </c>
      <c r="AD40" t="s">
        <v>137</v>
      </c>
      <c r="AE40">
        <v>3</v>
      </c>
      <c r="AF40">
        <v>4</v>
      </c>
      <c r="AG40">
        <v>3</v>
      </c>
      <c r="AH40" t="s">
        <v>103</v>
      </c>
      <c r="AI40" t="s">
        <v>321</v>
      </c>
      <c r="AJ40" t="s">
        <v>103</v>
      </c>
      <c r="AK40" t="s">
        <v>103</v>
      </c>
      <c r="AL40" t="s">
        <v>107</v>
      </c>
      <c r="AM40" t="s">
        <v>107</v>
      </c>
      <c r="AN40">
        <v>82</v>
      </c>
      <c r="AO40">
        <v>78</v>
      </c>
      <c r="AP40">
        <v>83</v>
      </c>
      <c r="AQ40">
        <v>87</v>
      </c>
      <c r="AR40">
        <v>68</v>
      </c>
      <c r="AS40">
        <v>64</v>
      </c>
      <c r="AT40">
        <v>82</v>
      </c>
      <c r="AU40">
        <v>77</v>
      </c>
      <c r="AV40">
        <v>54</v>
      </c>
      <c r="AW40">
        <v>84</v>
      </c>
      <c r="AX40">
        <v>77</v>
      </c>
      <c r="AY40">
        <v>88</v>
      </c>
      <c r="AZ40">
        <v>85</v>
      </c>
      <c r="BA40">
        <v>81</v>
      </c>
      <c r="BB40">
        <v>80</v>
      </c>
      <c r="BC40">
        <v>86</v>
      </c>
      <c r="BD40">
        <v>84</v>
      </c>
      <c r="BE40">
        <v>81</v>
      </c>
      <c r="BF40">
        <v>90</v>
      </c>
      <c r="BG40">
        <v>82</v>
      </c>
      <c r="BH40">
        <v>85</v>
      </c>
      <c r="BI40">
        <v>79</v>
      </c>
      <c r="BJ40">
        <v>68</v>
      </c>
      <c r="BK40">
        <v>80</v>
      </c>
      <c r="BL40">
        <v>56</v>
      </c>
      <c r="BM40">
        <v>79</v>
      </c>
      <c r="BN40">
        <v>63</v>
      </c>
      <c r="BO40">
        <v>78</v>
      </c>
      <c r="BP40">
        <v>81</v>
      </c>
      <c r="BQ40">
        <v>85</v>
      </c>
      <c r="BR40">
        <v>69</v>
      </c>
      <c r="BS40">
        <v>80</v>
      </c>
      <c r="BT40">
        <v>55</v>
      </c>
      <c r="BU40">
        <v>77</v>
      </c>
      <c r="BV40">
        <v>69</v>
      </c>
      <c r="BW40">
        <v>11</v>
      </c>
      <c r="BX40">
        <v>15</v>
      </c>
      <c r="BY40">
        <v>13</v>
      </c>
      <c r="BZ40">
        <v>7</v>
      </c>
      <c r="CA40">
        <v>14</v>
      </c>
      <c r="CB40">
        <v>80</v>
      </c>
      <c r="CC40">
        <v>83</v>
      </c>
      <c r="CD40">
        <v>82</v>
      </c>
      <c r="CE40">
        <v>82</v>
      </c>
      <c r="CF40">
        <v>82</v>
      </c>
      <c r="CG40">
        <v>83</v>
      </c>
      <c r="CH40">
        <v>86</v>
      </c>
      <c r="CI40">
        <v>86</v>
      </c>
      <c r="CJ40">
        <v>86</v>
      </c>
      <c r="CK40">
        <v>86</v>
      </c>
      <c r="CL40">
        <v>81</v>
      </c>
      <c r="CM40">
        <v>79</v>
      </c>
      <c r="CN40">
        <v>81</v>
      </c>
      <c r="CO40">
        <v>79</v>
      </c>
      <c r="CP40">
        <v>72</v>
      </c>
      <c r="CQ40">
        <v>79</v>
      </c>
      <c r="CR40">
        <v>23</v>
      </c>
    </row>
    <row r="41" spans="1:96">
      <c r="A41">
        <v>40</v>
      </c>
      <c r="B41" t="s">
        <v>322</v>
      </c>
      <c r="C41" t="s">
        <v>96</v>
      </c>
      <c r="D41" t="s">
        <v>133</v>
      </c>
      <c r="E41" t="s">
        <v>323</v>
      </c>
      <c r="F41">
        <v>83</v>
      </c>
      <c r="G41">
        <v>20</v>
      </c>
      <c r="H41" t="s">
        <v>324</v>
      </c>
      <c r="I41" t="s">
        <v>325</v>
      </c>
      <c r="J41">
        <v>83</v>
      </c>
      <c r="K41">
        <v>83</v>
      </c>
      <c r="L41">
        <v>36500000</v>
      </c>
      <c r="M41" t="s">
        <v>132</v>
      </c>
      <c r="N41" t="s">
        <v>133</v>
      </c>
      <c r="O41" t="s">
        <v>326</v>
      </c>
      <c r="P41" t="s">
        <v>327</v>
      </c>
      <c r="Q41">
        <v>28</v>
      </c>
      <c r="R41">
        <v>180</v>
      </c>
      <c r="S41">
        <v>75</v>
      </c>
      <c r="T41">
        <v>2132</v>
      </c>
      <c r="U41">
        <v>457</v>
      </c>
      <c r="V41" t="s">
        <v>323</v>
      </c>
      <c r="W41">
        <v>78000</v>
      </c>
      <c r="X41">
        <v>62100000</v>
      </c>
      <c r="Y41" t="s">
        <v>97</v>
      </c>
      <c r="Z41">
        <v>2024</v>
      </c>
      <c r="AA41">
        <v>20</v>
      </c>
      <c r="AB41">
        <v>2016</v>
      </c>
      <c r="AC41" t="s">
        <v>103</v>
      </c>
      <c r="AD41" t="s">
        <v>104</v>
      </c>
      <c r="AE41">
        <v>5</v>
      </c>
      <c r="AF41">
        <v>4</v>
      </c>
      <c r="AG41">
        <v>3</v>
      </c>
      <c r="AH41" t="s">
        <v>326</v>
      </c>
      <c r="AI41" t="s">
        <v>328</v>
      </c>
      <c r="AJ41" t="s">
        <v>133</v>
      </c>
      <c r="AK41">
        <v>20</v>
      </c>
      <c r="AL41" t="s">
        <v>116</v>
      </c>
      <c r="AM41" t="s">
        <v>116</v>
      </c>
      <c r="AN41">
        <v>81</v>
      </c>
      <c r="AO41">
        <v>77</v>
      </c>
      <c r="AP41">
        <v>81</v>
      </c>
      <c r="AQ41">
        <v>86</v>
      </c>
      <c r="AR41">
        <v>70</v>
      </c>
      <c r="AS41">
        <v>62</v>
      </c>
      <c r="AT41">
        <v>73</v>
      </c>
      <c r="AU41">
        <v>75</v>
      </c>
      <c r="AV41">
        <v>52</v>
      </c>
      <c r="AW41">
        <v>85</v>
      </c>
      <c r="AX41">
        <v>75</v>
      </c>
      <c r="AY41">
        <v>87</v>
      </c>
      <c r="AZ41">
        <v>80</v>
      </c>
      <c r="BA41">
        <v>65</v>
      </c>
      <c r="BB41">
        <v>81</v>
      </c>
      <c r="BC41">
        <v>87</v>
      </c>
      <c r="BD41">
        <v>83</v>
      </c>
      <c r="BE41">
        <v>79</v>
      </c>
      <c r="BF41">
        <v>85</v>
      </c>
      <c r="BG41">
        <v>81</v>
      </c>
      <c r="BH41">
        <v>79</v>
      </c>
      <c r="BI41">
        <v>79</v>
      </c>
      <c r="BJ41">
        <v>52</v>
      </c>
      <c r="BK41">
        <v>79</v>
      </c>
      <c r="BL41">
        <v>57</v>
      </c>
      <c r="BM41">
        <v>83</v>
      </c>
      <c r="BN41">
        <v>56</v>
      </c>
      <c r="BO41">
        <v>75</v>
      </c>
      <c r="BP41">
        <v>80</v>
      </c>
      <c r="BQ41">
        <v>84</v>
      </c>
      <c r="BR41">
        <v>58</v>
      </c>
      <c r="BS41">
        <v>75</v>
      </c>
      <c r="BT41">
        <v>69</v>
      </c>
      <c r="BU41">
        <v>72</v>
      </c>
      <c r="BV41">
        <v>71</v>
      </c>
      <c r="BW41">
        <v>12</v>
      </c>
      <c r="BX41">
        <v>9</v>
      </c>
      <c r="BY41">
        <v>12</v>
      </c>
      <c r="BZ41">
        <v>11</v>
      </c>
      <c r="CA41">
        <v>6</v>
      </c>
      <c r="CB41">
        <v>80</v>
      </c>
      <c r="CC41">
        <v>82</v>
      </c>
      <c r="CD41">
        <v>82</v>
      </c>
      <c r="CE41">
        <v>82</v>
      </c>
      <c r="CF41">
        <v>82</v>
      </c>
      <c r="CG41">
        <v>82</v>
      </c>
      <c r="CH41">
        <v>83</v>
      </c>
      <c r="CI41">
        <v>83</v>
      </c>
      <c r="CJ41">
        <v>83</v>
      </c>
      <c r="CK41">
        <v>83</v>
      </c>
      <c r="CL41">
        <v>81</v>
      </c>
      <c r="CM41">
        <v>79</v>
      </c>
      <c r="CN41">
        <v>81</v>
      </c>
      <c r="CO41">
        <v>79</v>
      </c>
      <c r="CP41">
        <v>71</v>
      </c>
      <c r="CQ41">
        <v>79</v>
      </c>
      <c r="CR41">
        <v>20</v>
      </c>
    </row>
    <row r="42" spans="1:96">
      <c r="A42">
        <v>41</v>
      </c>
      <c r="B42" t="s">
        <v>329</v>
      </c>
      <c r="C42" t="s">
        <v>96</v>
      </c>
      <c r="D42" t="s">
        <v>97</v>
      </c>
      <c r="E42" t="s">
        <v>153</v>
      </c>
      <c r="F42">
        <v>83</v>
      </c>
      <c r="G42">
        <v>20</v>
      </c>
      <c r="H42" t="s">
        <v>330</v>
      </c>
      <c r="I42" t="s">
        <v>331</v>
      </c>
      <c r="J42">
        <v>71</v>
      </c>
      <c r="K42">
        <v>71</v>
      </c>
      <c r="L42">
        <v>900000</v>
      </c>
      <c r="M42" t="s">
        <v>332</v>
      </c>
      <c r="N42" t="s">
        <v>109</v>
      </c>
      <c r="O42" t="s">
        <v>333</v>
      </c>
      <c r="P42" t="s">
        <v>334</v>
      </c>
      <c r="Q42">
        <v>33</v>
      </c>
      <c r="R42">
        <v>183</v>
      </c>
      <c r="S42">
        <v>80</v>
      </c>
      <c r="T42">
        <v>1972</v>
      </c>
      <c r="U42">
        <v>408</v>
      </c>
      <c r="V42" t="s">
        <v>335</v>
      </c>
      <c r="W42">
        <v>12000</v>
      </c>
      <c r="X42">
        <v>1400000</v>
      </c>
      <c r="Y42" t="s">
        <v>109</v>
      </c>
      <c r="Z42">
        <v>2024</v>
      </c>
      <c r="AA42">
        <v>20</v>
      </c>
      <c r="AB42">
        <v>2018</v>
      </c>
      <c r="AC42" t="s">
        <v>103</v>
      </c>
      <c r="AD42" t="s">
        <v>104</v>
      </c>
      <c r="AE42">
        <v>3</v>
      </c>
      <c r="AF42">
        <v>3</v>
      </c>
      <c r="AG42">
        <v>1</v>
      </c>
      <c r="AH42" t="s">
        <v>103</v>
      </c>
      <c r="AI42" t="s">
        <v>336</v>
      </c>
      <c r="AJ42" t="s">
        <v>103</v>
      </c>
      <c r="AK42" t="s">
        <v>103</v>
      </c>
      <c r="AL42" t="s">
        <v>116</v>
      </c>
      <c r="AM42" t="s">
        <v>107</v>
      </c>
      <c r="AN42">
        <v>55</v>
      </c>
      <c r="AO42">
        <v>69</v>
      </c>
      <c r="AP42">
        <v>70</v>
      </c>
      <c r="AQ42">
        <v>69</v>
      </c>
      <c r="AR42">
        <v>72</v>
      </c>
      <c r="AS42">
        <v>73</v>
      </c>
      <c r="AT42">
        <v>70</v>
      </c>
      <c r="AU42">
        <v>68</v>
      </c>
      <c r="AV42">
        <v>68</v>
      </c>
      <c r="AW42">
        <v>72</v>
      </c>
      <c r="AX42">
        <v>71</v>
      </c>
      <c r="AY42">
        <v>69</v>
      </c>
      <c r="AZ42">
        <v>70</v>
      </c>
      <c r="BA42">
        <v>67</v>
      </c>
      <c r="BB42">
        <v>71</v>
      </c>
      <c r="BC42">
        <v>72</v>
      </c>
      <c r="BD42">
        <v>54</v>
      </c>
      <c r="BE42">
        <v>55</v>
      </c>
      <c r="BF42">
        <v>58</v>
      </c>
      <c r="BG42">
        <v>67</v>
      </c>
      <c r="BH42">
        <v>61</v>
      </c>
      <c r="BI42">
        <v>73</v>
      </c>
      <c r="BJ42">
        <v>73</v>
      </c>
      <c r="BK42">
        <v>79</v>
      </c>
      <c r="BL42">
        <v>74</v>
      </c>
      <c r="BM42">
        <v>70</v>
      </c>
      <c r="BN42">
        <v>63</v>
      </c>
      <c r="BO42">
        <v>74</v>
      </c>
      <c r="BP42">
        <v>65</v>
      </c>
      <c r="BQ42">
        <v>68</v>
      </c>
      <c r="BR42">
        <v>66</v>
      </c>
      <c r="BS42">
        <v>74</v>
      </c>
      <c r="BT42">
        <v>76</v>
      </c>
      <c r="BU42">
        <v>70</v>
      </c>
      <c r="BV42">
        <v>68</v>
      </c>
      <c r="BW42">
        <v>12</v>
      </c>
      <c r="BX42">
        <v>15</v>
      </c>
      <c r="BY42">
        <v>8</v>
      </c>
      <c r="BZ42">
        <v>11</v>
      </c>
      <c r="CA42">
        <v>14</v>
      </c>
      <c r="CB42">
        <v>70</v>
      </c>
      <c r="CC42">
        <v>67</v>
      </c>
      <c r="CD42">
        <v>68</v>
      </c>
      <c r="CE42">
        <v>68</v>
      </c>
      <c r="CF42">
        <v>68</v>
      </c>
      <c r="CG42">
        <v>67</v>
      </c>
      <c r="CH42">
        <v>70</v>
      </c>
      <c r="CI42">
        <v>70</v>
      </c>
      <c r="CJ42">
        <v>71</v>
      </c>
      <c r="CK42">
        <v>70</v>
      </c>
      <c r="CL42">
        <v>71</v>
      </c>
      <c r="CM42">
        <v>71</v>
      </c>
      <c r="CN42">
        <v>71</v>
      </c>
      <c r="CO42">
        <v>71</v>
      </c>
      <c r="CP42">
        <v>71</v>
      </c>
      <c r="CQ42">
        <v>71</v>
      </c>
      <c r="CR42">
        <v>21</v>
      </c>
    </row>
    <row r="43" spans="1:96">
      <c r="A43">
        <v>42</v>
      </c>
      <c r="B43" t="s">
        <v>337</v>
      </c>
      <c r="C43" t="s">
        <v>96</v>
      </c>
      <c r="D43" t="s">
        <v>109</v>
      </c>
      <c r="E43" t="s">
        <v>118</v>
      </c>
      <c r="F43">
        <v>83</v>
      </c>
      <c r="G43">
        <v>20</v>
      </c>
      <c r="H43" t="s">
        <v>338</v>
      </c>
      <c r="I43" t="s">
        <v>337</v>
      </c>
      <c r="J43">
        <v>82</v>
      </c>
      <c r="K43">
        <v>89</v>
      </c>
      <c r="L43">
        <v>61500000</v>
      </c>
      <c r="M43" t="s">
        <v>149</v>
      </c>
      <c r="N43" t="s">
        <v>109</v>
      </c>
      <c r="O43" t="s">
        <v>319</v>
      </c>
      <c r="P43" t="s">
        <v>339</v>
      </c>
      <c r="Q43">
        <v>22</v>
      </c>
      <c r="R43">
        <v>187</v>
      </c>
      <c r="S43">
        <v>81</v>
      </c>
      <c r="T43">
        <v>2142</v>
      </c>
      <c r="U43">
        <v>460</v>
      </c>
      <c r="V43" t="s">
        <v>123</v>
      </c>
      <c r="W43">
        <v>145000</v>
      </c>
      <c r="X43">
        <v>138400000</v>
      </c>
      <c r="Y43" t="s">
        <v>109</v>
      </c>
      <c r="Z43">
        <v>2028</v>
      </c>
      <c r="AA43">
        <v>18</v>
      </c>
      <c r="AB43">
        <v>2022</v>
      </c>
      <c r="AC43" t="s">
        <v>103</v>
      </c>
      <c r="AD43" t="s">
        <v>104</v>
      </c>
      <c r="AE43">
        <v>3</v>
      </c>
      <c r="AF43">
        <v>3</v>
      </c>
      <c r="AG43">
        <v>2</v>
      </c>
      <c r="AH43" t="s">
        <v>319</v>
      </c>
      <c r="AI43" t="s">
        <v>321</v>
      </c>
      <c r="AJ43" t="s">
        <v>114</v>
      </c>
      <c r="AK43">
        <v>8</v>
      </c>
      <c r="AL43" t="s">
        <v>116</v>
      </c>
      <c r="AM43" t="s">
        <v>107</v>
      </c>
      <c r="AN43">
        <v>70</v>
      </c>
      <c r="AO43">
        <v>70</v>
      </c>
      <c r="AP43">
        <v>79</v>
      </c>
      <c r="AQ43">
        <v>78</v>
      </c>
      <c r="AR43">
        <v>81</v>
      </c>
      <c r="AS43">
        <v>82</v>
      </c>
      <c r="AT43">
        <v>68</v>
      </c>
      <c r="AU43">
        <v>67</v>
      </c>
      <c r="AV43">
        <v>74</v>
      </c>
      <c r="AW43">
        <v>85</v>
      </c>
      <c r="AX43">
        <v>50</v>
      </c>
      <c r="AY43">
        <v>78</v>
      </c>
      <c r="AZ43">
        <v>76</v>
      </c>
      <c r="BA43">
        <v>53</v>
      </c>
      <c r="BB43">
        <v>84</v>
      </c>
      <c r="BC43">
        <v>80</v>
      </c>
      <c r="BD43">
        <v>68</v>
      </c>
      <c r="BE43">
        <v>71</v>
      </c>
      <c r="BF43">
        <v>73</v>
      </c>
      <c r="BG43">
        <v>83</v>
      </c>
      <c r="BH43">
        <v>70</v>
      </c>
      <c r="BI43">
        <v>78</v>
      </c>
      <c r="BJ43">
        <v>74</v>
      </c>
      <c r="BK43">
        <v>84</v>
      </c>
      <c r="BL43">
        <v>82</v>
      </c>
      <c r="BM43">
        <v>75</v>
      </c>
      <c r="BN43">
        <v>82</v>
      </c>
      <c r="BO43">
        <v>85</v>
      </c>
      <c r="BP43">
        <v>75</v>
      </c>
      <c r="BQ43">
        <v>82</v>
      </c>
      <c r="BR43">
        <v>55</v>
      </c>
      <c r="BS43">
        <v>83</v>
      </c>
      <c r="BT43">
        <v>81</v>
      </c>
      <c r="BU43">
        <v>83</v>
      </c>
      <c r="BV43">
        <v>78</v>
      </c>
      <c r="BW43">
        <v>9</v>
      </c>
      <c r="BX43">
        <v>8</v>
      </c>
      <c r="BY43">
        <v>12</v>
      </c>
      <c r="BZ43">
        <v>12</v>
      </c>
      <c r="CA43">
        <v>7</v>
      </c>
      <c r="CB43">
        <v>77</v>
      </c>
      <c r="CC43">
        <v>76</v>
      </c>
      <c r="CD43">
        <v>77</v>
      </c>
      <c r="CE43">
        <v>77</v>
      </c>
      <c r="CF43">
        <v>77</v>
      </c>
      <c r="CG43">
        <v>76</v>
      </c>
      <c r="CH43">
        <v>81</v>
      </c>
      <c r="CI43">
        <v>79</v>
      </c>
      <c r="CJ43">
        <v>84</v>
      </c>
      <c r="CK43">
        <v>79</v>
      </c>
      <c r="CL43">
        <v>81</v>
      </c>
      <c r="CM43">
        <v>85</v>
      </c>
      <c r="CN43">
        <v>81</v>
      </c>
      <c r="CO43">
        <v>81</v>
      </c>
      <c r="CP43">
        <v>83</v>
      </c>
      <c r="CQ43">
        <v>81</v>
      </c>
      <c r="CR43">
        <v>19</v>
      </c>
    </row>
    <row r="44" spans="1:96">
      <c r="A44">
        <v>43</v>
      </c>
      <c r="B44" t="s">
        <v>340</v>
      </c>
      <c r="C44" t="s">
        <v>96</v>
      </c>
      <c r="D44" t="s">
        <v>133</v>
      </c>
      <c r="E44" t="s">
        <v>110</v>
      </c>
      <c r="F44">
        <v>83</v>
      </c>
      <c r="G44">
        <v>20</v>
      </c>
      <c r="H44" t="s">
        <v>341</v>
      </c>
      <c r="I44" t="s">
        <v>342</v>
      </c>
      <c r="J44">
        <v>66</v>
      </c>
      <c r="K44">
        <v>67</v>
      </c>
      <c r="L44">
        <v>1000000</v>
      </c>
      <c r="M44" t="s">
        <v>240</v>
      </c>
      <c r="N44" t="s">
        <v>133</v>
      </c>
      <c r="O44" t="s">
        <v>227</v>
      </c>
      <c r="P44" t="s">
        <v>343</v>
      </c>
      <c r="Q44">
        <v>26</v>
      </c>
      <c r="R44">
        <v>177</v>
      </c>
      <c r="S44">
        <v>67</v>
      </c>
      <c r="T44">
        <v>1715</v>
      </c>
      <c r="U44">
        <v>362</v>
      </c>
      <c r="V44" t="s">
        <v>344</v>
      </c>
      <c r="W44">
        <v>2000</v>
      </c>
      <c r="X44">
        <v>1300000</v>
      </c>
      <c r="Y44" t="s">
        <v>114</v>
      </c>
      <c r="Z44">
        <v>2026</v>
      </c>
      <c r="AA44">
        <v>20</v>
      </c>
      <c r="AB44">
        <v>2022</v>
      </c>
      <c r="AC44" t="s">
        <v>103</v>
      </c>
      <c r="AD44" t="s">
        <v>104</v>
      </c>
      <c r="AE44">
        <v>3</v>
      </c>
      <c r="AF44">
        <v>3</v>
      </c>
      <c r="AG44">
        <v>1</v>
      </c>
      <c r="AH44" t="s">
        <v>103</v>
      </c>
      <c r="AI44" t="s">
        <v>229</v>
      </c>
      <c r="AJ44" t="s">
        <v>103</v>
      </c>
      <c r="AK44" t="s">
        <v>103</v>
      </c>
      <c r="AL44" t="s">
        <v>107</v>
      </c>
      <c r="AM44" t="s">
        <v>116</v>
      </c>
      <c r="AN44">
        <v>69</v>
      </c>
      <c r="AO44">
        <v>62</v>
      </c>
      <c r="AP44">
        <v>61</v>
      </c>
      <c r="AQ44">
        <v>66</v>
      </c>
      <c r="AR44">
        <v>36</v>
      </c>
      <c r="AS44">
        <v>68</v>
      </c>
      <c r="AT44">
        <v>54</v>
      </c>
      <c r="AU44">
        <v>63</v>
      </c>
      <c r="AV44">
        <v>60</v>
      </c>
      <c r="AW44">
        <v>66</v>
      </c>
      <c r="AX44">
        <v>54</v>
      </c>
      <c r="AY44">
        <v>64</v>
      </c>
      <c r="AZ44">
        <v>48</v>
      </c>
      <c r="BA44">
        <v>43</v>
      </c>
      <c r="BB44">
        <v>63</v>
      </c>
      <c r="BC44">
        <v>65</v>
      </c>
      <c r="BD44">
        <v>68</v>
      </c>
      <c r="BE44">
        <v>69</v>
      </c>
      <c r="BF44">
        <v>70</v>
      </c>
      <c r="BG44">
        <v>68</v>
      </c>
      <c r="BH44">
        <v>80</v>
      </c>
      <c r="BI44">
        <v>68</v>
      </c>
      <c r="BJ44">
        <v>75</v>
      </c>
      <c r="BK44">
        <v>82</v>
      </c>
      <c r="BL44">
        <v>61</v>
      </c>
      <c r="BM44">
        <v>61</v>
      </c>
      <c r="BN44">
        <v>65</v>
      </c>
      <c r="BO44">
        <v>21</v>
      </c>
      <c r="BP44">
        <v>66</v>
      </c>
      <c r="BQ44">
        <v>67</v>
      </c>
      <c r="BR44">
        <v>43</v>
      </c>
      <c r="BS44">
        <v>59</v>
      </c>
      <c r="BT44">
        <v>35</v>
      </c>
      <c r="BU44">
        <v>39</v>
      </c>
      <c r="BV44">
        <v>40</v>
      </c>
      <c r="BW44">
        <v>14</v>
      </c>
      <c r="BX44">
        <v>13</v>
      </c>
      <c r="BY44">
        <v>13</v>
      </c>
      <c r="BZ44">
        <v>8</v>
      </c>
      <c r="CA44">
        <v>9</v>
      </c>
      <c r="CB44">
        <v>67</v>
      </c>
      <c r="CC44">
        <v>65</v>
      </c>
      <c r="CD44">
        <v>66</v>
      </c>
      <c r="CE44">
        <v>66</v>
      </c>
      <c r="CF44">
        <v>66</v>
      </c>
      <c r="CG44">
        <v>65</v>
      </c>
      <c r="CH44">
        <v>67</v>
      </c>
      <c r="CI44">
        <v>67</v>
      </c>
      <c r="CJ44">
        <v>65</v>
      </c>
      <c r="CK44">
        <v>67</v>
      </c>
      <c r="CL44">
        <v>56</v>
      </c>
      <c r="CM44">
        <v>55</v>
      </c>
      <c r="CN44">
        <v>56</v>
      </c>
      <c r="CO44">
        <v>54</v>
      </c>
      <c r="CP44">
        <v>50</v>
      </c>
      <c r="CQ44">
        <v>54</v>
      </c>
      <c r="CR44">
        <v>19</v>
      </c>
    </row>
    <row r="45" spans="1:96">
      <c r="A45">
        <v>44</v>
      </c>
      <c r="B45" t="s">
        <v>345</v>
      </c>
      <c r="C45" t="s">
        <v>96</v>
      </c>
      <c r="D45" t="s">
        <v>97</v>
      </c>
      <c r="E45" t="s">
        <v>275</v>
      </c>
      <c r="F45">
        <v>82</v>
      </c>
      <c r="G45">
        <v>20</v>
      </c>
      <c r="H45" t="s">
        <v>346</v>
      </c>
      <c r="I45" t="s">
        <v>347</v>
      </c>
      <c r="J45">
        <v>79</v>
      </c>
      <c r="K45">
        <v>83</v>
      </c>
      <c r="L45">
        <v>24500000</v>
      </c>
      <c r="M45" t="s">
        <v>97</v>
      </c>
      <c r="N45" t="s">
        <v>109</v>
      </c>
      <c r="O45" t="s">
        <v>174</v>
      </c>
      <c r="P45" t="s">
        <v>348</v>
      </c>
      <c r="Q45">
        <v>25</v>
      </c>
      <c r="R45">
        <v>187</v>
      </c>
      <c r="S45">
        <v>73</v>
      </c>
      <c r="T45">
        <v>2107</v>
      </c>
      <c r="U45">
        <v>443</v>
      </c>
      <c r="V45" t="s">
        <v>280</v>
      </c>
      <c r="W45">
        <v>85000</v>
      </c>
      <c r="X45">
        <v>48400000</v>
      </c>
      <c r="Y45" t="s">
        <v>97</v>
      </c>
      <c r="Z45">
        <v>2026</v>
      </c>
      <c r="AA45">
        <v>30</v>
      </c>
      <c r="AB45">
        <v>2022</v>
      </c>
      <c r="AC45" t="s">
        <v>103</v>
      </c>
      <c r="AD45" t="s">
        <v>104</v>
      </c>
      <c r="AE45">
        <v>4</v>
      </c>
      <c r="AF45">
        <v>4</v>
      </c>
      <c r="AG45">
        <v>2</v>
      </c>
      <c r="AH45" t="s">
        <v>103</v>
      </c>
      <c r="AI45" t="s">
        <v>176</v>
      </c>
      <c r="AJ45" t="s">
        <v>103</v>
      </c>
      <c r="AK45" t="s">
        <v>103</v>
      </c>
      <c r="AL45" t="s">
        <v>116</v>
      </c>
      <c r="AM45" t="s">
        <v>116</v>
      </c>
      <c r="AN45">
        <v>67</v>
      </c>
      <c r="AO45">
        <v>62</v>
      </c>
      <c r="AP45">
        <v>79</v>
      </c>
      <c r="AQ45">
        <v>80</v>
      </c>
      <c r="AR45">
        <v>78</v>
      </c>
      <c r="AS45">
        <v>77</v>
      </c>
      <c r="AT45">
        <v>76</v>
      </c>
      <c r="AU45">
        <v>55</v>
      </c>
      <c r="AV45">
        <v>62</v>
      </c>
      <c r="AW45">
        <v>83</v>
      </c>
      <c r="AX45">
        <v>71</v>
      </c>
      <c r="AY45">
        <v>82</v>
      </c>
      <c r="AZ45">
        <v>71</v>
      </c>
      <c r="BA45">
        <v>68</v>
      </c>
      <c r="BB45">
        <v>81</v>
      </c>
      <c r="BC45">
        <v>83</v>
      </c>
      <c r="BD45">
        <v>66</v>
      </c>
      <c r="BE45">
        <v>68</v>
      </c>
      <c r="BF45">
        <v>70</v>
      </c>
      <c r="BG45">
        <v>77</v>
      </c>
      <c r="BH45">
        <v>74</v>
      </c>
      <c r="BI45">
        <v>69</v>
      </c>
      <c r="BJ45">
        <v>73</v>
      </c>
      <c r="BK45">
        <v>86</v>
      </c>
      <c r="BL45">
        <v>72</v>
      </c>
      <c r="BM45">
        <v>65</v>
      </c>
      <c r="BN45">
        <v>78</v>
      </c>
      <c r="BO45">
        <v>78</v>
      </c>
      <c r="BP45">
        <v>64</v>
      </c>
      <c r="BQ45">
        <v>78</v>
      </c>
      <c r="BR45">
        <v>64</v>
      </c>
      <c r="BS45">
        <v>81</v>
      </c>
      <c r="BT45">
        <v>79</v>
      </c>
      <c r="BU45">
        <v>81</v>
      </c>
      <c r="BV45">
        <v>78</v>
      </c>
      <c r="BW45">
        <v>8</v>
      </c>
      <c r="BX45">
        <v>7</v>
      </c>
      <c r="BY45">
        <v>14</v>
      </c>
      <c r="BZ45">
        <v>14</v>
      </c>
      <c r="CA45">
        <v>12</v>
      </c>
      <c r="CB45">
        <v>71</v>
      </c>
      <c r="CC45">
        <v>74</v>
      </c>
      <c r="CD45">
        <v>73</v>
      </c>
      <c r="CE45">
        <v>73</v>
      </c>
      <c r="CF45">
        <v>73</v>
      </c>
      <c r="CG45">
        <v>74</v>
      </c>
      <c r="CH45">
        <v>78</v>
      </c>
      <c r="CI45">
        <v>78</v>
      </c>
      <c r="CJ45">
        <v>81</v>
      </c>
      <c r="CK45">
        <v>78</v>
      </c>
      <c r="CL45">
        <v>81</v>
      </c>
      <c r="CM45">
        <v>82</v>
      </c>
      <c r="CN45">
        <v>81</v>
      </c>
      <c r="CO45">
        <v>80</v>
      </c>
      <c r="CP45">
        <v>78</v>
      </c>
      <c r="CQ45">
        <v>80</v>
      </c>
      <c r="CR45">
        <v>20</v>
      </c>
    </row>
    <row r="46" spans="1:96">
      <c r="A46">
        <v>45</v>
      </c>
      <c r="B46" t="s">
        <v>349</v>
      </c>
      <c r="C46" t="s">
        <v>96</v>
      </c>
      <c r="D46" t="s">
        <v>97</v>
      </c>
      <c r="E46" t="s">
        <v>284</v>
      </c>
      <c r="F46">
        <v>82</v>
      </c>
      <c r="G46">
        <v>20</v>
      </c>
      <c r="H46" t="s">
        <v>349</v>
      </c>
      <c r="I46" t="s">
        <v>350</v>
      </c>
      <c r="J46">
        <v>83</v>
      </c>
      <c r="K46">
        <v>83</v>
      </c>
      <c r="L46">
        <v>34500000</v>
      </c>
      <c r="M46" t="s">
        <v>149</v>
      </c>
      <c r="N46" t="s">
        <v>97</v>
      </c>
      <c r="O46" t="s">
        <v>199</v>
      </c>
      <c r="P46" t="s">
        <v>351</v>
      </c>
      <c r="Q46">
        <v>30</v>
      </c>
      <c r="R46">
        <v>176</v>
      </c>
      <c r="S46">
        <v>75</v>
      </c>
      <c r="T46">
        <v>2192</v>
      </c>
      <c r="U46">
        <v>462</v>
      </c>
      <c r="V46" t="s">
        <v>256</v>
      </c>
      <c r="W46">
        <v>74000</v>
      </c>
      <c r="X46">
        <v>70700000</v>
      </c>
      <c r="Y46" t="s">
        <v>97</v>
      </c>
      <c r="Z46">
        <v>2024</v>
      </c>
      <c r="AA46">
        <v>6</v>
      </c>
      <c r="AB46">
        <v>2011</v>
      </c>
      <c r="AC46" t="s">
        <v>103</v>
      </c>
      <c r="AD46" t="s">
        <v>104</v>
      </c>
      <c r="AE46">
        <v>4</v>
      </c>
      <c r="AF46">
        <v>3</v>
      </c>
      <c r="AG46">
        <v>3</v>
      </c>
      <c r="AH46" t="s">
        <v>199</v>
      </c>
      <c r="AI46" t="s">
        <v>201</v>
      </c>
      <c r="AJ46" t="s">
        <v>97</v>
      </c>
      <c r="AK46">
        <v>8</v>
      </c>
      <c r="AL46" t="s">
        <v>116</v>
      </c>
      <c r="AM46" t="s">
        <v>116</v>
      </c>
      <c r="AN46">
        <v>70</v>
      </c>
      <c r="AO46">
        <v>72</v>
      </c>
      <c r="AP46">
        <v>84</v>
      </c>
      <c r="AQ46">
        <v>79</v>
      </c>
      <c r="AR46">
        <v>78</v>
      </c>
      <c r="AS46">
        <v>79</v>
      </c>
      <c r="AT46">
        <v>85</v>
      </c>
      <c r="AU46">
        <v>69</v>
      </c>
      <c r="AV46">
        <v>61</v>
      </c>
      <c r="AW46">
        <v>86</v>
      </c>
      <c r="AX46">
        <v>56</v>
      </c>
      <c r="AY46">
        <v>77</v>
      </c>
      <c r="AZ46">
        <v>84</v>
      </c>
      <c r="BA46">
        <v>77</v>
      </c>
      <c r="BB46">
        <v>84</v>
      </c>
      <c r="BC46">
        <v>81</v>
      </c>
      <c r="BD46">
        <v>72</v>
      </c>
      <c r="BE46">
        <v>69</v>
      </c>
      <c r="BF46">
        <v>72</v>
      </c>
      <c r="BG46">
        <v>84</v>
      </c>
      <c r="BH46">
        <v>81</v>
      </c>
      <c r="BI46">
        <v>81</v>
      </c>
      <c r="BJ46">
        <v>59</v>
      </c>
      <c r="BK46">
        <v>91</v>
      </c>
      <c r="BL46">
        <v>75</v>
      </c>
      <c r="BM46">
        <v>75</v>
      </c>
      <c r="BN46">
        <v>78</v>
      </c>
      <c r="BO46">
        <v>82</v>
      </c>
      <c r="BP46">
        <v>76</v>
      </c>
      <c r="BQ46">
        <v>83</v>
      </c>
      <c r="BR46">
        <v>67</v>
      </c>
      <c r="BS46">
        <v>85</v>
      </c>
      <c r="BT46">
        <v>81</v>
      </c>
      <c r="BU46">
        <v>82</v>
      </c>
      <c r="BV46">
        <v>70</v>
      </c>
      <c r="BW46">
        <v>14</v>
      </c>
      <c r="BX46">
        <v>12</v>
      </c>
      <c r="BY46">
        <v>5</v>
      </c>
      <c r="BZ46">
        <v>10</v>
      </c>
      <c r="CA46">
        <v>13</v>
      </c>
      <c r="CB46">
        <v>77</v>
      </c>
      <c r="CC46">
        <v>78</v>
      </c>
      <c r="CD46">
        <v>78</v>
      </c>
      <c r="CE46">
        <v>78</v>
      </c>
      <c r="CF46">
        <v>78</v>
      </c>
      <c r="CG46">
        <v>78</v>
      </c>
      <c r="CH46">
        <v>82</v>
      </c>
      <c r="CI46">
        <v>83</v>
      </c>
      <c r="CJ46">
        <v>83</v>
      </c>
      <c r="CK46">
        <v>83</v>
      </c>
      <c r="CL46">
        <v>83</v>
      </c>
      <c r="CM46">
        <v>83</v>
      </c>
      <c r="CN46">
        <v>83</v>
      </c>
      <c r="CO46">
        <v>82</v>
      </c>
      <c r="CP46">
        <v>80</v>
      </c>
      <c r="CQ46">
        <v>82</v>
      </c>
      <c r="CR46">
        <v>23</v>
      </c>
    </row>
    <row r="47" spans="1:96">
      <c r="A47">
        <v>46</v>
      </c>
      <c r="B47" t="s">
        <v>352</v>
      </c>
      <c r="C47" t="s">
        <v>96</v>
      </c>
      <c r="D47" t="s">
        <v>97</v>
      </c>
      <c r="E47" t="s">
        <v>353</v>
      </c>
      <c r="F47">
        <v>82</v>
      </c>
      <c r="G47">
        <v>20</v>
      </c>
      <c r="H47" t="s">
        <v>354</v>
      </c>
      <c r="I47" t="s">
        <v>355</v>
      </c>
      <c r="J47">
        <v>70</v>
      </c>
      <c r="K47">
        <v>70</v>
      </c>
      <c r="L47">
        <v>1100000</v>
      </c>
      <c r="M47" t="s">
        <v>109</v>
      </c>
      <c r="N47" t="s">
        <v>109</v>
      </c>
      <c r="O47" t="s">
        <v>356</v>
      </c>
      <c r="P47" t="s">
        <v>357</v>
      </c>
      <c r="Q47">
        <v>31</v>
      </c>
      <c r="R47">
        <v>172</v>
      </c>
      <c r="S47">
        <v>72</v>
      </c>
      <c r="T47">
        <v>1923</v>
      </c>
      <c r="U47">
        <v>409</v>
      </c>
      <c r="V47" t="s">
        <v>335</v>
      </c>
      <c r="W47">
        <v>10000</v>
      </c>
      <c r="X47">
        <v>1700000</v>
      </c>
      <c r="Y47" t="s">
        <v>114</v>
      </c>
      <c r="Z47">
        <v>2024</v>
      </c>
      <c r="AA47">
        <v>34</v>
      </c>
      <c r="AB47">
        <v>2010</v>
      </c>
      <c r="AC47" t="s">
        <v>103</v>
      </c>
      <c r="AD47" t="s">
        <v>104</v>
      </c>
      <c r="AE47">
        <v>4</v>
      </c>
      <c r="AF47">
        <v>3</v>
      </c>
      <c r="AG47">
        <v>1</v>
      </c>
      <c r="AH47" t="s">
        <v>103</v>
      </c>
      <c r="AI47" t="s">
        <v>103</v>
      </c>
      <c r="AJ47" t="s">
        <v>103</v>
      </c>
      <c r="AK47" t="s">
        <v>103</v>
      </c>
      <c r="AL47" t="s">
        <v>116</v>
      </c>
      <c r="AM47" t="s">
        <v>107</v>
      </c>
      <c r="AN47">
        <v>70</v>
      </c>
      <c r="AO47">
        <v>62</v>
      </c>
      <c r="AP47">
        <v>67</v>
      </c>
      <c r="AQ47">
        <v>66</v>
      </c>
      <c r="AR47">
        <v>65</v>
      </c>
      <c r="AS47">
        <v>79</v>
      </c>
      <c r="AT47">
        <v>70</v>
      </c>
      <c r="AU47">
        <v>54</v>
      </c>
      <c r="AV47">
        <v>50</v>
      </c>
      <c r="AW47">
        <v>71</v>
      </c>
      <c r="AX47">
        <v>52</v>
      </c>
      <c r="AY47">
        <v>65</v>
      </c>
      <c r="AZ47">
        <v>53</v>
      </c>
      <c r="BA47">
        <v>63</v>
      </c>
      <c r="BB47">
        <v>68</v>
      </c>
      <c r="BC47">
        <v>66</v>
      </c>
      <c r="BD47">
        <v>66</v>
      </c>
      <c r="BE47">
        <v>73</v>
      </c>
      <c r="BF47">
        <v>67</v>
      </c>
      <c r="BG47">
        <v>63</v>
      </c>
      <c r="BH47">
        <v>73</v>
      </c>
      <c r="BI47">
        <v>73</v>
      </c>
      <c r="BJ47">
        <v>71</v>
      </c>
      <c r="BK47">
        <v>89</v>
      </c>
      <c r="BL47">
        <v>73</v>
      </c>
      <c r="BM47">
        <v>75</v>
      </c>
      <c r="BN47">
        <v>85</v>
      </c>
      <c r="BO47">
        <v>66</v>
      </c>
      <c r="BP47">
        <v>61</v>
      </c>
      <c r="BQ47">
        <v>61</v>
      </c>
      <c r="BR47">
        <v>55</v>
      </c>
      <c r="BS47">
        <v>73</v>
      </c>
      <c r="BT47">
        <v>67</v>
      </c>
      <c r="BU47">
        <v>67</v>
      </c>
      <c r="BV47">
        <v>68</v>
      </c>
      <c r="BW47">
        <v>11</v>
      </c>
      <c r="BX47">
        <v>8</v>
      </c>
      <c r="BY47">
        <v>14</v>
      </c>
      <c r="BZ47">
        <v>14</v>
      </c>
      <c r="CA47">
        <v>11</v>
      </c>
      <c r="CB47">
        <v>65</v>
      </c>
      <c r="CC47">
        <v>65</v>
      </c>
      <c r="CD47">
        <v>64</v>
      </c>
      <c r="CE47">
        <v>64</v>
      </c>
      <c r="CF47">
        <v>64</v>
      </c>
      <c r="CG47">
        <v>65</v>
      </c>
      <c r="CH47">
        <v>67</v>
      </c>
      <c r="CI47">
        <v>69</v>
      </c>
      <c r="CJ47">
        <v>69</v>
      </c>
      <c r="CK47">
        <v>69</v>
      </c>
      <c r="CL47">
        <v>70</v>
      </c>
      <c r="CM47">
        <v>70</v>
      </c>
      <c r="CN47">
        <v>70</v>
      </c>
      <c r="CO47">
        <v>70</v>
      </c>
      <c r="CP47">
        <v>69</v>
      </c>
      <c r="CQ47">
        <v>70</v>
      </c>
      <c r="CR47">
        <v>19</v>
      </c>
    </row>
    <row r="48" spans="1:96">
      <c r="A48">
        <v>47</v>
      </c>
      <c r="B48" t="s">
        <v>358</v>
      </c>
      <c r="C48" t="s">
        <v>96</v>
      </c>
      <c r="D48" t="s">
        <v>109</v>
      </c>
      <c r="E48" t="s">
        <v>220</v>
      </c>
      <c r="F48">
        <v>81</v>
      </c>
      <c r="G48">
        <v>20</v>
      </c>
      <c r="H48" t="s">
        <v>359</v>
      </c>
      <c r="I48" t="s">
        <v>360</v>
      </c>
      <c r="J48">
        <v>78</v>
      </c>
      <c r="K48">
        <v>87</v>
      </c>
      <c r="L48">
        <v>31500000</v>
      </c>
      <c r="M48" t="s">
        <v>149</v>
      </c>
      <c r="N48" t="s">
        <v>97</v>
      </c>
      <c r="O48" t="s">
        <v>287</v>
      </c>
      <c r="P48" t="s">
        <v>361</v>
      </c>
      <c r="Q48">
        <v>21</v>
      </c>
      <c r="R48">
        <v>180</v>
      </c>
      <c r="S48">
        <v>77</v>
      </c>
      <c r="T48">
        <v>2133</v>
      </c>
      <c r="U48">
        <v>451</v>
      </c>
      <c r="V48" t="s">
        <v>362</v>
      </c>
      <c r="W48">
        <v>12000</v>
      </c>
      <c r="X48">
        <v>69300000</v>
      </c>
      <c r="Y48" t="s">
        <v>97</v>
      </c>
      <c r="Z48">
        <v>2027</v>
      </c>
      <c r="AA48">
        <v>13</v>
      </c>
      <c r="AB48">
        <v>2022</v>
      </c>
      <c r="AC48" t="s">
        <v>103</v>
      </c>
      <c r="AD48" t="s">
        <v>104</v>
      </c>
      <c r="AE48">
        <v>4</v>
      </c>
      <c r="AF48">
        <v>3</v>
      </c>
      <c r="AG48">
        <v>1</v>
      </c>
      <c r="AH48" t="s">
        <v>103</v>
      </c>
      <c r="AI48" t="s">
        <v>289</v>
      </c>
      <c r="AJ48" t="s">
        <v>103</v>
      </c>
      <c r="AK48" t="s">
        <v>103</v>
      </c>
      <c r="AL48" t="s">
        <v>107</v>
      </c>
      <c r="AM48" t="s">
        <v>107</v>
      </c>
      <c r="AN48">
        <v>74</v>
      </c>
      <c r="AO48">
        <v>71</v>
      </c>
      <c r="AP48">
        <v>76</v>
      </c>
      <c r="AQ48">
        <v>78</v>
      </c>
      <c r="AR48">
        <v>72</v>
      </c>
      <c r="AS48">
        <v>80</v>
      </c>
      <c r="AT48">
        <v>66</v>
      </c>
      <c r="AU48">
        <v>64</v>
      </c>
      <c r="AV48">
        <v>66</v>
      </c>
      <c r="AW48">
        <v>80</v>
      </c>
      <c r="AX48">
        <v>70</v>
      </c>
      <c r="AY48">
        <v>77</v>
      </c>
      <c r="AZ48">
        <v>74</v>
      </c>
      <c r="BA48">
        <v>69</v>
      </c>
      <c r="BB48">
        <v>75</v>
      </c>
      <c r="BC48">
        <v>80</v>
      </c>
      <c r="BD48">
        <v>77</v>
      </c>
      <c r="BE48">
        <v>72</v>
      </c>
      <c r="BF48">
        <v>76</v>
      </c>
      <c r="BG48">
        <v>77</v>
      </c>
      <c r="BH48">
        <v>77</v>
      </c>
      <c r="BI48">
        <v>83</v>
      </c>
      <c r="BJ48">
        <v>70</v>
      </c>
      <c r="BK48">
        <v>83</v>
      </c>
      <c r="BL48">
        <v>79</v>
      </c>
      <c r="BM48">
        <v>73</v>
      </c>
      <c r="BN48">
        <v>82</v>
      </c>
      <c r="BO48">
        <v>70</v>
      </c>
      <c r="BP48">
        <v>79</v>
      </c>
      <c r="BQ48">
        <v>80</v>
      </c>
      <c r="BR48">
        <v>74</v>
      </c>
      <c r="BS48">
        <v>80</v>
      </c>
      <c r="BT48">
        <v>72</v>
      </c>
      <c r="BU48">
        <v>75</v>
      </c>
      <c r="BV48">
        <v>74</v>
      </c>
      <c r="BW48">
        <v>8</v>
      </c>
      <c r="BX48">
        <v>6</v>
      </c>
      <c r="BY48">
        <v>7</v>
      </c>
      <c r="BZ48">
        <v>8</v>
      </c>
      <c r="CA48">
        <v>10</v>
      </c>
      <c r="CB48">
        <v>76</v>
      </c>
      <c r="CC48">
        <v>75</v>
      </c>
      <c r="CD48">
        <v>76</v>
      </c>
      <c r="CE48">
        <v>76</v>
      </c>
      <c r="CF48">
        <v>76</v>
      </c>
      <c r="CG48">
        <v>75</v>
      </c>
      <c r="CH48">
        <v>79</v>
      </c>
      <c r="CI48">
        <v>78</v>
      </c>
      <c r="CJ48">
        <v>80</v>
      </c>
      <c r="CK48">
        <v>78</v>
      </c>
      <c r="CL48">
        <v>77</v>
      </c>
      <c r="CM48">
        <v>79</v>
      </c>
      <c r="CN48">
        <v>77</v>
      </c>
      <c r="CO48">
        <v>76</v>
      </c>
      <c r="CP48">
        <v>76</v>
      </c>
      <c r="CQ48">
        <v>76</v>
      </c>
      <c r="CR48">
        <v>18</v>
      </c>
    </row>
    <row r="49" spans="1:96">
      <c r="A49">
        <v>48</v>
      </c>
      <c r="B49" t="s">
        <v>363</v>
      </c>
      <c r="C49" t="s">
        <v>96</v>
      </c>
      <c r="D49" t="s">
        <v>97</v>
      </c>
      <c r="E49" t="s">
        <v>212</v>
      </c>
      <c r="F49">
        <v>81</v>
      </c>
      <c r="G49">
        <v>20</v>
      </c>
      <c r="H49" t="s">
        <v>364</v>
      </c>
      <c r="I49" t="s">
        <v>363</v>
      </c>
      <c r="J49">
        <v>80</v>
      </c>
      <c r="K49">
        <v>80</v>
      </c>
      <c r="L49">
        <v>21000000</v>
      </c>
      <c r="M49" t="s">
        <v>365</v>
      </c>
      <c r="N49" t="s">
        <v>97</v>
      </c>
      <c r="O49" t="s">
        <v>366</v>
      </c>
      <c r="P49" t="s">
        <v>367</v>
      </c>
      <c r="Q49">
        <v>28</v>
      </c>
      <c r="R49">
        <v>178</v>
      </c>
      <c r="S49">
        <v>76</v>
      </c>
      <c r="T49">
        <v>2172</v>
      </c>
      <c r="U49">
        <v>453</v>
      </c>
      <c r="V49" t="s">
        <v>151</v>
      </c>
      <c r="W49">
        <v>67000</v>
      </c>
      <c r="X49">
        <v>34700000</v>
      </c>
      <c r="Y49" t="s">
        <v>114</v>
      </c>
      <c r="Z49">
        <v>2025</v>
      </c>
      <c r="AA49">
        <v>18</v>
      </c>
      <c r="AB49">
        <v>2021</v>
      </c>
      <c r="AC49" t="s">
        <v>103</v>
      </c>
      <c r="AD49" t="s">
        <v>104</v>
      </c>
      <c r="AE49">
        <v>4</v>
      </c>
      <c r="AF49">
        <v>3</v>
      </c>
      <c r="AG49">
        <v>3</v>
      </c>
      <c r="AH49" t="s">
        <v>366</v>
      </c>
      <c r="AI49" t="s">
        <v>368</v>
      </c>
      <c r="AJ49" t="s">
        <v>133</v>
      </c>
      <c r="AK49">
        <v>9</v>
      </c>
      <c r="AL49" t="s">
        <v>107</v>
      </c>
      <c r="AM49" t="s">
        <v>107</v>
      </c>
      <c r="AN49">
        <v>72</v>
      </c>
      <c r="AO49">
        <v>81</v>
      </c>
      <c r="AP49">
        <v>79</v>
      </c>
      <c r="AQ49">
        <v>79</v>
      </c>
      <c r="AR49">
        <v>66</v>
      </c>
      <c r="AS49">
        <v>76</v>
      </c>
      <c r="AT49">
        <v>74</v>
      </c>
      <c r="AU49">
        <v>79</v>
      </c>
      <c r="AV49">
        <v>60</v>
      </c>
      <c r="AW49">
        <v>82</v>
      </c>
      <c r="AX49">
        <v>81</v>
      </c>
      <c r="AY49">
        <v>79</v>
      </c>
      <c r="AZ49">
        <v>76</v>
      </c>
      <c r="BA49">
        <v>78</v>
      </c>
      <c r="BB49">
        <v>81</v>
      </c>
      <c r="BC49">
        <v>82</v>
      </c>
      <c r="BD49">
        <v>73</v>
      </c>
      <c r="BE49">
        <v>71</v>
      </c>
      <c r="BF49">
        <v>74</v>
      </c>
      <c r="BG49">
        <v>80</v>
      </c>
      <c r="BH49">
        <v>77</v>
      </c>
      <c r="BI49">
        <v>85</v>
      </c>
      <c r="BJ49">
        <v>69</v>
      </c>
      <c r="BK49">
        <v>80</v>
      </c>
      <c r="BL49">
        <v>75</v>
      </c>
      <c r="BM49">
        <v>85</v>
      </c>
      <c r="BN49">
        <v>75</v>
      </c>
      <c r="BO49">
        <v>65</v>
      </c>
      <c r="BP49">
        <v>77</v>
      </c>
      <c r="BQ49">
        <v>80</v>
      </c>
      <c r="BR49">
        <v>72</v>
      </c>
      <c r="BS49">
        <v>79</v>
      </c>
      <c r="BT49">
        <v>69</v>
      </c>
      <c r="BU49">
        <v>68</v>
      </c>
      <c r="BV49">
        <v>59</v>
      </c>
      <c r="BW49">
        <v>11</v>
      </c>
      <c r="BX49">
        <v>13</v>
      </c>
      <c r="BY49">
        <v>14</v>
      </c>
      <c r="BZ49">
        <v>15</v>
      </c>
      <c r="CA49">
        <v>13</v>
      </c>
      <c r="CB49">
        <v>80</v>
      </c>
      <c r="CC49">
        <v>78</v>
      </c>
      <c r="CD49">
        <v>79</v>
      </c>
      <c r="CE49">
        <v>79</v>
      </c>
      <c r="CF49">
        <v>79</v>
      </c>
      <c r="CG49">
        <v>78</v>
      </c>
      <c r="CH49">
        <v>80</v>
      </c>
      <c r="CI49">
        <v>80</v>
      </c>
      <c r="CJ49">
        <v>80</v>
      </c>
      <c r="CK49">
        <v>80</v>
      </c>
      <c r="CL49">
        <v>76</v>
      </c>
      <c r="CM49">
        <v>78</v>
      </c>
      <c r="CN49">
        <v>76</v>
      </c>
      <c r="CO49">
        <v>74</v>
      </c>
      <c r="CP49">
        <v>72</v>
      </c>
      <c r="CQ49">
        <v>74</v>
      </c>
      <c r="CR49">
        <v>23</v>
      </c>
    </row>
    <row r="50" spans="1:96">
      <c r="A50">
        <v>49</v>
      </c>
      <c r="B50" t="s">
        <v>369</v>
      </c>
      <c r="C50" t="s">
        <v>96</v>
      </c>
      <c r="D50" t="s">
        <v>133</v>
      </c>
      <c r="E50" t="s">
        <v>275</v>
      </c>
      <c r="F50">
        <v>81</v>
      </c>
      <c r="G50">
        <v>20</v>
      </c>
      <c r="H50" t="s">
        <v>370</v>
      </c>
      <c r="I50" t="s">
        <v>371</v>
      </c>
      <c r="J50">
        <v>81</v>
      </c>
      <c r="K50">
        <v>83</v>
      </c>
      <c r="L50">
        <v>31500000</v>
      </c>
      <c r="M50" t="s">
        <v>372</v>
      </c>
      <c r="N50" t="s">
        <v>133</v>
      </c>
      <c r="O50" t="s">
        <v>287</v>
      </c>
      <c r="P50" t="s">
        <v>373</v>
      </c>
      <c r="Q50">
        <v>26</v>
      </c>
      <c r="R50">
        <v>177</v>
      </c>
      <c r="S50">
        <v>68</v>
      </c>
      <c r="T50">
        <v>2162</v>
      </c>
      <c r="U50">
        <v>453</v>
      </c>
      <c r="V50" t="s">
        <v>374</v>
      </c>
      <c r="W50">
        <v>100000</v>
      </c>
      <c r="X50">
        <v>0</v>
      </c>
      <c r="Y50" t="s">
        <v>291</v>
      </c>
      <c r="Z50">
        <v>2023</v>
      </c>
      <c r="AA50">
        <v>17</v>
      </c>
      <c r="AB50">
        <v>2020</v>
      </c>
      <c r="AC50" t="b">
        <v>1</v>
      </c>
      <c r="AD50" t="s">
        <v>137</v>
      </c>
      <c r="AE50">
        <v>3</v>
      </c>
      <c r="AF50">
        <v>4</v>
      </c>
      <c r="AG50">
        <v>1</v>
      </c>
      <c r="AH50" t="s">
        <v>287</v>
      </c>
      <c r="AI50" t="s">
        <v>289</v>
      </c>
      <c r="AJ50" t="s">
        <v>97</v>
      </c>
      <c r="AK50">
        <v>20</v>
      </c>
      <c r="AL50" t="s">
        <v>107</v>
      </c>
      <c r="AM50" t="s">
        <v>116</v>
      </c>
      <c r="AN50">
        <v>71</v>
      </c>
      <c r="AO50">
        <v>75</v>
      </c>
      <c r="AP50">
        <v>83</v>
      </c>
      <c r="AQ50">
        <v>84</v>
      </c>
      <c r="AR50">
        <v>68</v>
      </c>
      <c r="AS50">
        <v>72</v>
      </c>
      <c r="AT50">
        <v>78</v>
      </c>
      <c r="AU50">
        <v>73</v>
      </c>
      <c r="AV50">
        <v>62</v>
      </c>
      <c r="AW50">
        <v>84</v>
      </c>
      <c r="AX50">
        <v>71</v>
      </c>
      <c r="AY50">
        <v>85</v>
      </c>
      <c r="AZ50">
        <v>82</v>
      </c>
      <c r="BA50">
        <v>79</v>
      </c>
      <c r="BB50">
        <v>83</v>
      </c>
      <c r="BC50">
        <v>85</v>
      </c>
      <c r="BD50">
        <v>74</v>
      </c>
      <c r="BE50">
        <v>69</v>
      </c>
      <c r="BF50">
        <v>81</v>
      </c>
      <c r="BG50">
        <v>82</v>
      </c>
      <c r="BH50">
        <v>80</v>
      </c>
      <c r="BI50">
        <v>82</v>
      </c>
      <c r="BJ50">
        <v>56</v>
      </c>
      <c r="BK50">
        <v>75</v>
      </c>
      <c r="BL50">
        <v>69</v>
      </c>
      <c r="BM50">
        <v>74</v>
      </c>
      <c r="BN50">
        <v>82</v>
      </c>
      <c r="BO50">
        <v>70</v>
      </c>
      <c r="BP50">
        <v>75</v>
      </c>
      <c r="BQ50">
        <v>85</v>
      </c>
      <c r="BR50">
        <v>65</v>
      </c>
      <c r="BS50">
        <v>83</v>
      </c>
      <c r="BT50">
        <v>64</v>
      </c>
      <c r="BU50">
        <v>73</v>
      </c>
      <c r="BV50">
        <v>68</v>
      </c>
      <c r="BW50">
        <v>10</v>
      </c>
      <c r="BX50">
        <v>7</v>
      </c>
      <c r="BY50">
        <v>10</v>
      </c>
      <c r="BZ50">
        <v>15</v>
      </c>
      <c r="CA50">
        <v>14</v>
      </c>
      <c r="CB50">
        <v>78</v>
      </c>
      <c r="CC50">
        <v>80</v>
      </c>
      <c r="CD50">
        <v>80</v>
      </c>
      <c r="CE50">
        <v>80</v>
      </c>
      <c r="CF50">
        <v>80</v>
      </c>
      <c r="CG50">
        <v>80</v>
      </c>
      <c r="CH50">
        <v>83</v>
      </c>
      <c r="CI50">
        <v>82</v>
      </c>
      <c r="CJ50">
        <v>83</v>
      </c>
      <c r="CK50">
        <v>82</v>
      </c>
      <c r="CL50">
        <v>77</v>
      </c>
      <c r="CM50">
        <v>79</v>
      </c>
      <c r="CN50">
        <v>77</v>
      </c>
      <c r="CO50">
        <v>75</v>
      </c>
      <c r="CP50">
        <v>73</v>
      </c>
      <c r="CQ50">
        <v>75</v>
      </c>
      <c r="CR50">
        <v>21</v>
      </c>
    </row>
    <row r="51" spans="1:96">
      <c r="A51">
        <v>50</v>
      </c>
      <c r="B51" t="s">
        <v>375</v>
      </c>
      <c r="C51" t="s">
        <v>96</v>
      </c>
      <c r="D51" t="s">
        <v>109</v>
      </c>
      <c r="E51" t="s">
        <v>153</v>
      </c>
      <c r="F51">
        <v>81</v>
      </c>
      <c r="G51">
        <v>20</v>
      </c>
      <c r="H51" t="s">
        <v>376</v>
      </c>
      <c r="I51" t="s">
        <v>377</v>
      </c>
      <c r="J51">
        <v>77</v>
      </c>
      <c r="K51">
        <v>85</v>
      </c>
      <c r="L51">
        <v>23500000</v>
      </c>
      <c r="M51" t="s">
        <v>149</v>
      </c>
      <c r="N51" t="s">
        <v>97</v>
      </c>
      <c r="O51" t="s">
        <v>174</v>
      </c>
      <c r="P51" t="s">
        <v>378</v>
      </c>
      <c r="Q51">
        <v>21</v>
      </c>
      <c r="R51">
        <v>182</v>
      </c>
      <c r="S51">
        <v>77</v>
      </c>
      <c r="T51">
        <v>1943</v>
      </c>
      <c r="U51">
        <v>432</v>
      </c>
      <c r="V51" t="s">
        <v>379</v>
      </c>
      <c r="W51">
        <v>11000</v>
      </c>
      <c r="X51">
        <v>51700000</v>
      </c>
      <c r="Y51" t="s">
        <v>97</v>
      </c>
      <c r="Z51">
        <v>2026</v>
      </c>
      <c r="AA51">
        <v>15</v>
      </c>
      <c r="AB51">
        <v>2021</v>
      </c>
      <c r="AC51" t="s">
        <v>103</v>
      </c>
      <c r="AD51" t="s">
        <v>104</v>
      </c>
      <c r="AE51">
        <v>3</v>
      </c>
      <c r="AF51">
        <v>3</v>
      </c>
      <c r="AG51">
        <v>1</v>
      </c>
      <c r="AH51" t="s">
        <v>103</v>
      </c>
      <c r="AI51" t="s">
        <v>176</v>
      </c>
      <c r="AJ51" t="s">
        <v>103</v>
      </c>
      <c r="AK51" t="s">
        <v>103</v>
      </c>
      <c r="AL51" t="s">
        <v>107</v>
      </c>
      <c r="AM51" t="s">
        <v>107</v>
      </c>
      <c r="AN51">
        <v>72</v>
      </c>
      <c r="AO51">
        <v>63</v>
      </c>
      <c r="AP51">
        <v>71</v>
      </c>
      <c r="AQ51">
        <v>77</v>
      </c>
      <c r="AR51">
        <v>73</v>
      </c>
      <c r="AS51">
        <v>76</v>
      </c>
      <c r="AT51">
        <v>58</v>
      </c>
      <c r="AU51">
        <v>65</v>
      </c>
      <c r="AV51">
        <v>39</v>
      </c>
      <c r="AW51">
        <v>78</v>
      </c>
      <c r="AX51">
        <v>45</v>
      </c>
      <c r="AY51">
        <v>79</v>
      </c>
      <c r="AZ51">
        <v>54</v>
      </c>
      <c r="BA51">
        <v>50</v>
      </c>
      <c r="BB51">
        <v>77</v>
      </c>
      <c r="BC51">
        <v>79</v>
      </c>
      <c r="BD51">
        <v>71</v>
      </c>
      <c r="BE51">
        <v>72</v>
      </c>
      <c r="BF51">
        <v>69</v>
      </c>
      <c r="BG51">
        <v>77</v>
      </c>
      <c r="BH51">
        <v>60</v>
      </c>
      <c r="BI51">
        <v>62</v>
      </c>
      <c r="BJ51">
        <v>53</v>
      </c>
      <c r="BK51">
        <v>82</v>
      </c>
      <c r="BL51">
        <v>75</v>
      </c>
      <c r="BM51">
        <v>65</v>
      </c>
      <c r="BN51">
        <v>76</v>
      </c>
      <c r="BO51">
        <v>78</v>
      </c>
      <c r="BP51">
        <v>73</v>
      </c>
      <c r="BQ51">
        <v>75</v>
      </c>
      <c r="BR51">
        <v>50</v>
      </c>
      <c r="BS51">
        <v>84</v>
      </c>
      <c r="BT51">
        <v>77</v>
      </c>
      <c r="BU51">
        <v>76</v>
      </c>
      <c r="BV51">
        <v>75</v>
      </c>
      <c r="BW51">
        <v>6</v>
      </c>
      <c r="BX51">
        <v>10</v>
      </c>
      <c r="BY51">
        <v>16</v>
      </c>
      <c r="BZ51">
        <v>8</v>
      </c>
      <c r="CA51">
        <v>13</v>
      </c>
      <c r="CB51">
        <v>70</v>
      </c>
      <c r="CC51">
        <v>73</v>
      </c>
      <c r="CD51">
        <v>73</v>
      </c>
      <c r="CE51">
        <v>73</v>
      </c>
      <c r="CF51">
        <v>73</v>
      </c>
      <c r="CG51">
        <v>73</v>
      </c>
      <c r="CH51">
        <v>77</v>
      </c>
      <c r="CI51">
        <v>76</v>
      </c>
      <c r="CJ51">
        <v>79</v>
      </c>
      <c r="CK51">
        <v>76</v>
      </c>
      <c r="CL51">
        <v>77</v>
      </c>
      <c r="CM51">
        <v>79</v>
      </c>
      <c r="CN51">
        <v>77</v>
      </c>
      <c r="CO51">
        <v>75</v>
      </c>
      <c r="CP51">
        <v>74</v>
      </c>
      <c r="CQ51">
        <v>75</v>
      </c>
      <c r="CR51">
        <v>19</v>
      </c>
    </row>
    <row r="52" spans="1:96">
      <c r="A52">
        <v>51</v>
      </c>
      <c r="B52" t="s">
        <v>380</v>
      </c>
      <c r="C52" t="s">
        <v>96</v>
      </c>
      <c r="D52" t="s">
        <v>97</v>
      </c>
      <c r="E52" t="s">
        <v>118</v>
      </c>
      <c r="F52">
        <v>80</v>
      </c>
      <c r="G52">
        <v>20</v>
      </c>
      <c r="H52" t="s">
        <v>381</v>
      </c>
      <c r="I52" t="s">
        <v>382</v>
      </c>
      <c r="J52">
        <v>79</v>
      </c>
      <c r="K52">
        <v>89</v>
      </c>
      <c r="L52">
        <v>38000000</v>
      </c>
      <c r="M52" t="s">
        <v>149</v>
      </c>
      <c r="N52" t="s">
        <v>109</v>
      </c>
      <c r="O52" t="s">
        <v>319</v>
      </c>
      <c r="P52" t="s">
        <v>383</v>
      </c>
      <c r="Q52">
        <v>19</v>
      </c>
      <c r="R52">
        <v>182</v>
      </c>
      <c r="S52">
        <v>68</v>
      </c>
      <c r="T52">
        <v>2125</v>
      </c>
      <c r="U52">
        <v>455</v>
      </c>
      <c r="V52" t="s">
        <v>123</v>
      </c>
      <c r="W52">
        <v>78000</v>
      </c>
      <c r="X52">
        <v>85500000</v>
      </c>
      <c r="Y52" t="s">
        <v>114</v>
      </c>
      <c r="Z52">
        <v>2027</v>
      </c>
      <c r="AA52">
        <v>12</v>
      </c>
      <c r="AB52">
        <v>2021</v>
      </c>
      <c r="AC52" t="s">
        <v>103</v>
      </c>
      <c r="AD52" t="s">
        <v>137</v>
      </c>
      <c r="AE52">
        <v>3</v>
      </c>
      <c r="AF52">
        <v>4</v>
      </c>
      <c r="AG52">
        <v>3</v>
      </c>
      <c r="AH52" t="s">
        <v>103</v>
      </c>
      <c r="AI52" t="s">
        <v>321</v>
      </c>
      <c r="AJ52" t="s">
        <v>103</v>
      </c>
      <c r="AK52" t="s">
        <v>103</v>
      </c>
      <c r="AL52" t="s">
        <v>107</v>
      </c>
      <c r="AM52" t="s">
        <v>107</v>
      </c>
      <c r="AN52">
        <v>76</v>
      </c>
      <c r="AO52">
        <v>66</v>
      </c>
      <c r="AP52">
        <v>78</v>
      </c>
      <c r="AQ52">
        <v>81</v>
      </c>
      <c r="AR52">
        <v>76</v>
      </c>
      <c r="AS52">
        <v>78</v>
      </c>
      <c r="AT52">
        <v>70</v>
      </c>
      <c r="AU52">
        <v>62</v>
      </c>
      <c r="AV52">
        <v>64</v>
      </c>
      <c r="AW52">
        <v>84</v>
      </c>
      <c r="AX52">
        <v>59</v>
      </c>
      <c r="AY52">
        <v>80</v>
      </c>
      <c r="AZ52">
        <v>72</v>
      </c>
      <c r="BA52">
        <v>59</v>
      </c>
      <c r="BB52">
        <v>81</v>
      </c>
      <c r="BC52">
        <v>83</v>
      </c>
      <c r="BD52">
        <v>75</v>
      </c>
      <c r="BE52">
        <v>76</v>
      </c>
      <c r="BF52">
        <v>81</v>
      </c>
      <c r="BG52">
        <v>79</v>
      </c>
      <c r="BH52">
        <v>78</v>
      </c>
      <c r="BI52">
        <v>73</v>
      </c>
      <c r="BJ52">
        <v>70</v>
      </c>
      <c r="BK52">
        <v>81</v>
      </c>
      <c r="BL52">
        <v>78</v>
      </c>
      <c r="BM52">
        <v>69</v>
      </c>
      <c r="BN52">
        <v>78</v>
      </c>
      <c r="BO52">
        <v>77</v>
      </c>
      <c r="BP52">
        <v>73</v>
      </c>
      <c r="BQ52">
        <v>77</v>
      </c>
      <c r="BR52">
        <v>62</v>
      </c>
      <c r="BS52">
        <v>82</v>
      </c>
      <c r="BT52">
        <v>75</v>
      </c>
      <c r="BU52">
        <v>80</v>
      </c>
      <c r="BV52">
        <v>79</v>
      </c>
      <c r="BW52">
        <v>12</v>
      </c>
      <c r="BX52">
        <v>6</v>
      </c>
      <c r="BY52">
        <v>8</v>
      </c>
      <c r="BZ52">
        <v>12</v>
      </c>
      <c r="CA52">
        <v>12</v>
      </c>
      <c r="CB52">
        <v>76</v>
      </c>
      <c r="CC52">
        <v>76</v>
      </c>
      <c r="CD52">
        <v>76</v>
      </c>
      <c r="CE52">
        <v>76</v>
      </c>
      <c r="CF52">
        <v>76</v>
      </c>
      <c r="CG52">
        <v>76</v>
      </c>
      <c r="CH52">
        <v>81</v>
      </c>
      <c r="CI52">
        <v>80</v>
      </c>
      <c r="CJ52">
        <v>82</v>
      </c>
      <c r="CK52">
        <v>80</v>
      </c>
      <c r="CL52">
        <v>81</v>
      </c>
      <c r="CM52">
        <v>83</v>
      </c>
      <c r="CN52">
        <v>81</v>
      </c>
      <c r="CO52">
        <v>81</v>
      </c>
      <c r="CP52">
        <v>80</v>
      </c>
      <c r="CQ52">
        <v>81</v>
      </c>
      <c r="CR52">
        <v>21</v>
      </c>
    </row>
    <row r="53" spans="1:96">
      <c r="A53">
        <v>52</v>
      </c>
      <c r="B53" t="s">
        <v>384</v>
      </c>
      <c r="C53" t="s">
        <v>96</v>
      </c>
      <c r="D53" t="s">
        <v>97</v>
      </c>
      <c r="E53" t="s">
        <v>140</v>
      </c>
      <c r="F53">
        <v>80</v>
      </c>
      <c r="G53">
        <v>20</v>
      </c>
      <c r="H53" t="s">
        <v>384</v>
      </c>
      <c r="I53" t="s">
        <v>385</v>
      </c>
      <c r="J53">
        <v>79</v>
      </c>
      <c r="K53">
        <v>88</v>
      </c>
      <c r="L53">
        <v>36000000</v>
      </c>
      <c r="M53" t="s">
        <v>386</v>
      </c>
      <c r="N53" t="s">
        <v>133</v>
      </c>
      <c r="O53" t="s">
        <v>199</v>
      </c>
      <c r="P53" t="s">
        <v>387</v>
      </c>
      <c r="Q53">
        <v>17</v>
      </c>
      <c r="R53">
        <v>173</v>
      </c>
      <c r="S53">
        <v>68</v>
      </c>
      <c r="T53">
        <v>2022</v>
      </c>
      <c r="U53">
        <v>432</v>
      </c>
      <c r="V53" t="s">
        <v>144</v>
      </c>
      <c r="W53">
        <v>17000</v>
      </c>
      <c r="X53">
        <v>81000000</v>
      </c>
      <c r="Y53" t="s">
        <v>114</v>
      </c>
      <c r="Z53">
        <v>2026</v>
      </c>
      <c r="AA53">
        <v>30</v>
      </c>
      <c r="AB53">
        <v>2020</v>
      </c>
      <c r="AC53" t="s">
        <v>103</v>
      </c>
      <c r="AD53" t="s">
        <v>104</v>
      </c>
      <c r="AE53">
        <v>3</v>
      </c>
      <c r="AF53">
        <v>3</v>
      </c>
      <c r="AG53">
        <v>1</v>
      </c>
      <c r="AH53" t="s">
        <v>103</v>
      </c>
      <c r="AI53" t="s">
        <v>201</v>
      </c>
      <c r="AJ53" t="s">
        <v>103</v>
      </c>
      <c r="AK53" t="s">
        <v>103</v>
      </c>
      <c r="AL53" t="s">
        <v>107</v>
      </c>
      <c r="AM53" t="s">
        <v>107</v>
      </c>
      <c r="AN53">
        <v>76</v>
      </c>
      <c r="AO53">
        <v>64</v>
      </c>
      <c r="AP53">
        <v>77</v>
      </c>
      <c r="AQ53">
        <v>83</v>
      </c>
      <c r="AR53">
        <v>65</v>
      </c>
      <c r="AS53">
        <v>67</v>
      </c>
      <c r="AT53">
        <v>69</v>
      </c>
      <c r="AU53">
        <v>68</v>
      </c>
      <c r="AV53">
        <v>42</v>
      </c>
      <c r="AW53">
        <v>83</v>
      </c>
      <c r="AX53">
        <v>49</v>
      </c>
      <c r="AY53">
        <v>83</v>
      </c>
      <c r="AZ53">
        <v>74</v>
      </c>
      <c r="BA53">
        <v>47</v>
      </c>
      <c r="BB53">
        <v>79</v>
      </c>
      <c r="BC53">
        <v>82</v>
      </c>
      <c r="BD53">
        <v>77</v>
      </c>
      <c r="BE53">
        <v>75</v>
      </c>
      <c r="BF53">
        <v>86</v>
      </c>
      <c r="BG53">
        <v>79</v>
      </c>
      <c r="BH53">
        <v>90</v>
      </c>
      <c r="BI53">
        <v>56</v>
      </c>
      <c r="BJ53">
        <v>70</v>
      </c>
      <c r="BK53">
        <v>79</v>
      </c>
      <c r="BL53">
        <v>55</v>
      </c>
      <c r="BM53">
        <v>67</v>
      </c>
      <c r="BN53">
        <v>82</v>
      </c>
      <c r="BO53">
        <v>74</v>
      </c>
      <c r="BP53">
        <v>78</v>
      </c>
      <c r="BQ53">
        <v>81</v>
      </c>
      <c r="BR53">
        <v>51</v>
      </c>
      <c r="BS53">
        <v>74</v>
      </c>
      <c r="BT53">
        <v>59</v>
      </c>
      <c r="BU53">
        <v>72</v>
      </c>
      <c r="BV53">
        <v>66</v>
      </c>
      <c r="BW53">
        <v>8</v>
      </c>
      <c r="BX53">
        <v>10</v>
      </c>
      <c r="BY53">
        <v>11</v>
      </c>
      <c r="BZ53">
        <v>7</v>
      </c>
      <c r="CA53">
        <v>13</v>
      </c>
      <c r="CB53">
        <v>71</v>
      </c>
      <c r="CC53">
        <v>78</v>
      </c>
      <c r="CD53">
        <v>77</v>
      </c>
      <c r="CE53">
        <v>77</v>
      </c>
      <c r="CF53">
        <v>77</v>
      </c>
      <c r="CG53">
        <v>78</v>
      </c>
      <c r="CH53">
        <v>81</v>
      </c>
      <c r="CI53">
        <v>80</v>
      </c>
      <c r="CJ53">
        <v>81</v>
      </c>
      <c r="CK53">
        <v>80</v>
      </c>
      <c r="CL53">
        <v>76</v>
      </c>
      <c r="CM53">
        <v>77</v>
      </c>
      <c r="CN53">
        <v>76</v>
      </c>
      <c r="CO53">
        <v>74</v>
      </c>
      <c r="CP53">
        <v>69</v>
      </c>
      <c r="CQ53">
        <v>74</v>
      </c>
      <c r="CR53">
        <v>19</v>
      </c>
    </row>
    <row r="54" spans="1:96">
      <c r="A54">
        <v>53</v>
      </c>
      <c r="B54" t="s">
        <v>388</v>
      </c>
      <c r="C54" t="s">
        <v>96</v>
      </c>
      <c r="D54" t="s">
        <v>97</v>
      </c>
      <c r="E54" t="s">
        <v>182</v>
      </c>
      <c r="F54">
        <v>78</v>
      </c>
      <c r="G54">
        <v>20</v>
      </c>
      <c r="H54" t="s">
        <v>389</v>
      </c>
      <c r="I54" t="s">
        <v>388</v>
      </c>
      <c r="J54">
        <v>76</v>
      </c>
      <c r="K54">
        <v>82</v>
      </c>
      <c r="L54">
        <v>12000000</v>
      </c>
      <c r="M54" t="s">
        <v>132</v>
      </c>
      <c r="N54" t="s">
        <v>133</v>
      </c>
      <c r="O54" t="s">
        <v>287</v>
      </c>
      <c r="P54" t="s">
        <v>390</v>
      </c>
      <c r="Q54">
        <v>23</v>
      </c>
      <c r="R54">
        <v>176</v>
      </c>
      <c r="S54">
        <v>72</v>
      </c>
      <c r="T54">
        <v>2020</v>
      </c>
      <c r="U54">
        <v>417</v>
      </c>
      <c r="V54" t="s">
        <v>391</v>
      </c>
      <c r="W54">
        <v>49000</v>
      </c>
      <c r="X54">
        <v>25200000</v>
      </c>
      <c r="Y54" t="s">
        <v>97</v>
      </c>
      <c r="Z54">
        <v>2023</v>
      </c>
      <c r="AA54">
        <v>10</v>
      </c>
      <c r="AB54">
        <v>2019</v>
      </c>
      <c r="AC54" t="s">
        <v>103</v>
      </c>
      <c r="AD54" t="s">
        <v>104</v>
      </c>
      <c r="AE54">
        <v>3</v>
      </c>
      <c r="AF54">
        <v>3</v>
      </c>
      <c r="AG54">
        <v>1</v>
      </c>
      <c r="AH54" t="s">
        <v>103</v>
      </c>
      <c r="AI54" t="s">
        <v>289</v>
      </c>
      <c r="AJ54" t="s">
        <v>103</v>
      </c>
      <c r="AK54" t="s">
        <v>103</v>
      </c>
      <c r="AL54" t="s">
        <v>116</v>
      </c>
      <c r="AM54" t="s">
        <v>116</v>
      </c>
      <c r="AN54">
        <v>69</v>
      </c>
      <c r="AO54">
        <v>77</v>
      </c>
      <c r="AP54">
        <v>78</v>
      </c>
      <c r="AQ54">
        <v>75</v>
      </c>
      <c r="AR54">
        <v>56</v>
      </c>
      <c r="AS54">
        <v>62</v>
      </c>
      <c r="AT54">
        <v>79</v>
      </c>
      <c r="AU54">
        <v>77</v>
      </c>
      <c r="AV54">
        <v>61</v>
      </c>
      <c r="AW54">
        <v>77</v>
      </c>
      <c r="AX54">
        <v>73</v>
      </c>
      <c r="AY54">
        <v>75</v>
      </c>
      <c r="AZ54">
        <v>83</v>
      </c>
      <c r="BA54">
        <v>81</v>
      </c>
      <c r="BB54">
        <v>76</v>
      </c>
      <c r="BC54">
        <v>78</v>
      </c>
      <c r="BD54">
        <v>73</v>
      </c>
      <c r="BE54">
        <v>66</v>
      </c>
      <c r="BF54">
        <v>71</v>
      </c>
      <c r="BG54">
        <v>74</v>
      </c>
      <c r="BH54">
        <v>72</v>
      </c>
      <c r="BI54">
        <v>76</v>
      </c>
      <c r="BJ54">
        <v>64</v>
      </c>
      <c r="BK54">
        <v>68</v>
      </c>
      <c r="BL54">
        <v>63</v>
      </c>
      <c r="BM54">
        <v>80</v>
      </c>
      <c r="BN54">
        <v>51</v>
      </c>
      <c r="BO54">
        <v>45</v>
      </c>
      <c r="BP54">
        <v>77</v>
      </c>
      <c r="BQ54">
        <v>77</v>
      </c>
      <c r="BR54">
        <v>77</v>
      </c>
      <c r="BS54">
        <v>74</v>
      </c>
      <c r="BT54">
        <v>65</v>
      </c>
      <c r="BU54">
        <v>54</v>
      </c>
      <c r="BV54">
        <v>51</v>
      </c>
      <c r="BW54">
        <v>7</v>
      </c>
      <c r="BX54">
        <v>10</v>
      </c>
      <c r="BY54">
        <v>14</v>
      </c>
      <c r="BZ54">
        <v>15</v>
      </c>
      <c r="CA54">
        <v>10</v>
      </c>
      <c r="CB54">
        <v>76</v>
      </c>
      <c r="CC54">
        <v>76</v>
      </c>
      <c r="CD54">
        <v>76</v>
      </c>
      <c r="CE54">
        <v>76</v>
      </c>
      <c r="CF54">
        <v>76</v>
      </c>
      <c r="CG54">
        <v>76</v>
      </c>
      <c r="CH54">
        <v>78</v>
      </c>
      <c r="CI54">
        <v>77</v>
      </c>
      <c r="CJ54">
        <v>75</v>
      </c>
      <c r="CK54">
        <v>77</v>
      </c>
      <c r="CL54">
        <v>68</v>
      </c>
      <c r="CM54">
        <v>67</v>
      </c>
      <c r="CN54">
        <v>68</v>
      </c>
      <c r="CO54">
        <v>66</v>
      </c>
      <c r="CP54">
        <v>61</v>
      </c>
      <c r="CQ54">
        <v>66</v>
      </c>
      <c r="CR54">
        <v>20</v>
      </c>
    </row>
    <row r="55" spans="1:96">
      <c r="A55">
        <v>54</v>
      </c>
      <c r="B55" t="s">
        <v>392</v>
      </c>
      <c r="C55" t="s">
        <v>96</v>
      </c>
      <c r="D55" t="s">
        <v>109</v>
      </c>
      <c r="E55" t="s">
        <v>220</v>
      </c>
      <c r="F55">
        <v>88</v>
      </c>
      <c r="G55">
        <v>40</v>
      </c>
      <c r="H55" t="s">
        <v>393</v>
      </c>
      <c r="I55" t="s">
        <v>394</v>
      </c>
      <c r="J55">
        <v>89</v>
      </c>
      <c r="K55">
        <v>89</v>
      </c>
      <c r="L55">
        <v>72000000</v>
      </c>
      <c r="M55" t="s">
        <v>259</v>
      </c>
      <c r="N55" t="s">
        <v>109</v>
      </c>
      <c r="O55" t="s">
        <v>319</v>
      </c>
      <c r="P55" t="s">
        <v>395</v>
      </c>
      <c r="Q55">
        <v>31</v>
      </c>
      <c r="R55">
        <v>168</v>
      </c>
      <c r="S55">
        <v>70</v>
      </c>
      <c r="T55">
        <v>2154</v>
      </c>
      <c r="U55">
        <v>462</v>
      </c>
      <c r="V55" t="s">
        <v>220</v>
      </c>
      <c r="W55">
        <v>220000</v>
      </c>
      <c r="X55">
        <v>133199999</v>
      </c>
      <c r="Y55" t="s">
        <v>97</v>
      </c>
      <c r="Z55">
        <v>2023</v>
      </c>
      <c r="AA55">
        <v>7</v>
      </c>
      <c r="AB55">
        <v>2016</v>
      </c>
      <c r="AC55" t="s">
        <v>103</v>
      </c>
      <c r="AD55" t="s">
        <v>104</v>
      </c>
      <c r="AE55">
        <v>3</v>
      </c>
      <c r="AF55">
        <v>2</v>
      </c>
      <c r="AG55">
        <v>4</v>
      </c>
      <c r="AH55" t="s">
        <v>319</v>
      </c>
      <c r="AI55" t="s">
        <v>321</v>
      </c>
      <c r="AJ55" t="s">
        <v>109</v>
      </c>
      <c r="AK55">
        <v>13</v>
      </c>
      <c r="AL55" t="s">
        <v>116</v>
      </c>
      <c r="AM55" t="s">
        <v>107</v>
      </c>
      <c r="AN55">
        <v>72</v>
      </c>
      <c r="AO55">
        <v>66</v>
      </c>
      <c r="AP55">
        <v>74</v>
      </c>
      <c r="AQ55">
        <v>81</v>
      </c>
      <c r="AR55">
        <v>87</v>
      </c>
      <c r="AS55">
        <v>82</v>
      </c>
      <c r="AT55">
        <v>68</v>
      </c>
      <c r="AU55">
        <v>65</v>
      </c>
      <c r="AV55">
        <v>54</v>
      </c>
      <c r="AW55">
        <v>82</v>
      </c>
      <c r="AX55">
        <v>56</v>
      </c>
      <c r="AY55">
        <v>78</v>
      </c>
      <c r="AZ55">
        <v>49</v>
      </c>
      <c r="BA55">
        <v>49</v>
      </c>
      <c r="BB55">
        <v>76</v>
      </c>
      <c r="BC55">
        <v>81</v>
      </c>
      <c r="BD55">
        <v>77</v>
      </c>
      <c r="BE55">
        <v>68</v>
      </c>
      <c r="BF55">
        <v>78</v>
      </c>
      <c r="BG55">
        <v>93</v>
      </c>
      <c r="BH55">
        <v>92</v>
      </c>
      <c r="BI55">
        <v>71</v>
      </c>
      <c r="BJ55">
        <v>75</v>
      </c>
      <c r="BK55">
        <v>95</v>
      </c>
      <c r="BL55">
        <v>72</v>
      </c>
      <c r="BM55">
        <v>65</v>
      </c>
      <c r="BN55">
        <v>93</v>
      </c>
      <c r="BO55">
        <v>91</v>
      </c>
      <c r="BP55">
        <v>72</v>
      </c>
      <c r="BQ55">
        <v>77</v>
      </c>
      <c r="BR55">
        <v>54</v>
      </c>
      <c r="BS55">
        <v>84</v>
      </c>
      <c r="BT55">
        <v>90</v>
      </c>
      <c r="BU55">
        <v>93</v>
      </c>
      <c r="BV55">
        <v>86</v>
      </c>
      <c r="BW55">
        <v>15</v>
      </c>
      <c r="BX55">
        <v>12</v>
      </c>
      <c r="BY55">
        <v>10</v>
      </c>
      <c r="BZ55">
        <v>7</v>
      </c>
      <c r="CA55">
        <v>10</v>
      </c>
      <c r="CB55">
        <v>75</v>
      </c>
      <c r="CC55">
        <v>76</v>
      </c>
      <c r="CD55">
        <v>76</v>
      </c>
      <c r="CE55">
        <v>76</v>
      </c>
      <c r="CF55">
        <v>76</v>
      </c>
      <c r="CG55">
        <v>76</v>
      </c>
      <c r="CH55">
        <v>80</v>
      </c>
      <c r="CI55">
        <v>81</v>
      </c>
      <c r="CJ55">
        <v>84</v>
      </c>
      <c r="CK55">
        <v>81</v>
      </c>
      <c r="CL55">
        <v>87</v>
      </c>
      <c r="CM55">
        <v>89</v>
      </c>
      <c r="CN55">
        <v>87</v>
      </c>
      <c r="CO55">
        <v>87</v>
      </c>
      <c r="CP55">
        <v>87</v>
      </c>
      <c r="CQ55">
        <v>87</v>
      </c>
      <c r="CR55">
        <v>23</v>
      </c>
    </row>
    <row r="56" spans="1:96">
      <c r="A56">
        <v>55</v>
      </c>
      <c r="B56" t="s">
        <v>396</v>
      </c>
      <c r="C56" t="s">
        <v>96</v>
      </c>
      <c r="D56" t="s">
        <v>97</v>
      </c>
      <c r="E56" t="s">
        <v>374</v>
      </c>
      <c r="F56">
        <v>86</v>
      </c>
      <c r="G56">
        <v>30</v>
      </c>
      <c r="H56" t="s">
        <v>397</v>
      </c>
      <c r="I56" t="s">
        <v>398</v>
      </c>
      <c r="J56">
        <v>86</v>
      </c>
      <c r="K56">
        <v>86</v>
      </c>
      <c r="L56">
        <v>42000000</v>
      </c>
      <c r="M56" t="s">
        <v>97</v>
      </c>
      <c r="N56" t="s">
        <v>97</v>
      </c>
      <c r="O56" t="s">
        <v>199</v>
      </c>
      <c r="P56" t="s">
        <v>399</v>
      </c>
      <c r="Q56">
        <v>33</v>
      </c>
      <c r="R56">
        <v>182</v>
      </c>
      <c r="S56">
        <v>74</v>
      </c>
      <c r="T56">
        <v>2162</v>
      </c>
      <c r="U56">
        <v>442</v>
      </c>
      <c r="V56" t="s">
        <v>374</v>
      </c>
      <c r="W56">
        <v>64000</v>
      </c>
      <c r="X56">
        <v>88200000</v>
      </c>
      <c r="Y56" t="s">
        <v>97</v>
      </c>
      <c r="Z56">
        <v>2024</v>
      </c>
      <c r="AA56">
        <v>10</v>
      </c>
      <c r="AB56">
        <v>2020</v>
      </c>
      <c r="AC56" t="s">
        <v>103</v>
      </c>
      <c r="AD56" t="s">
        <v>104</v>
      </c>
      <c r="AE56">
        <v>4</v>
      </c>
      <c r="AF56">
        <v>3</v>
      </c>
      <c r="AG56">
        <v>2</v>
      </c>
      <c r="AH56" t="s">
        <v>103</v>
      </c>
      <c r="AI56" t="s">
        <v>201</v>
      </c>
      <c r="AJ56" t="s">
        <v>103</v>
      </c>
      <c r="AK56" t="s">
        <v>103</v>
      </c>
      <c r="AL56" t="s">
        <v>116</v>
      </c>
      <c r="AM56" t="s">
        <v>116</v>
      </c>
      <c r="AN56">
        <v>50</v>
      </c>
      <c r="AO56">
        <v>83</v>
      </c>
      <c r="AP56">
        <v>90</v>
      </c>
      <c r="AQ56">
        <v>80</v>
      </c>
      <c r="AR56">
        <v>71</v>
      </c>
      <c r="AS56">
        <v>68</v>
      </c>
      <c r="AT56">
        <v>86</v>
      </c>
      <c r="AU56">
        <v>83</v>
      </c>
      <c r="AV56">
        <v>61</v>
      </c>
      <c r="AW56">
        <v>92</v>
      </c>
      <c r="AX56">
        <v>72</v>
      </c>
      <c r="AY56">
        <v>81</v>
      </c>
      <c r="AZ56">
        <v>88</v>
      </c>
      <c r="BA56">
        <v>90</v>
      </c>
      <c r="BB56">
        <v>90</v>
      </c>
      <c r="BC56">
        <v>86</v>
      </c>
      <c r="BD56">
        <v>52</v>
      </c>
      <c r="BE56">
        <v>49</v>
      </c>
      <c r="BF56">
        <v>63</v>
      </c>
      <c r="BG56">
        <v>79</v>
      </c>
      <c r="BH56">
        <v>72</v>
      </c>
      <c r="BI56">
        <v>81</v>
      </c>
      <c r="BJ56">
        <v>49</v>
      </c>
      <c r="BK56">
        <v>76</v>
      </c>
      <c r="BL56">
        <v>70</v>
      </c>
      <c r="BM56">
        <v>88</v>
      </c>
      <c r="BN56">
        <v>58</v>
      </c>
      <c r="BO56">
        <v>80</v>
      </c>
      <c r="BP56">
        <v>81</v>
      </c>
      <c r="BQ56">
        <v>90</v>
      </c>
      <c r="BR56">
        <v>88</v>
      </c>
      <c r="BS56">
        <v>85</v>
      </c>
      <c r="BT56">
        <v>70</v>
      </c>
      <c r="BU56">
        <v>70</v>
      </c>
      <c r="BV56">
        <v>69</v>
      </c>
      <c r="BW56">
        <v>5</v>
      </c>
      <c r="BX56">
        <v>9</v>
      </c>
      <c r="BY56">
        <v>12</v>
      </c>
      <c r="BZ56">
        <v>14</v>
      </c>
      <c r="CA56">
        <v>8</v>
      </c>
      <c r="CB56">
        <v>79</v>
      </c>
      <c r="CC56">
        <v>80</v>
      </c>
      <c r="CD56">
        <v>80</v>
      </c>
      <c r="CE56">
        <v>80</v>
      </c>
      <c r="CF56">
        <v>80</v>
      </c>
      <c r="CG56">
        <v>80</v>
      </c>
      <c r="CH56">
        <v>85</v>
      </c>
      <c r="CI56">
        <v>82</v>
      </c>
      <c r="CJ56">
        <v>86</v>
      </c>
      <c r="CK56">
        <v>82</v>
      </c>
      <c r="CL56">
        <v>78</v>
      </c>
      <c r="CM56">
        <v>81</v>
      </c>
      <c r="CN56">
        <v>78</v>
      </c>
      <c r="CO56">
        <v>76</v>
      </c>
      <c r="CP56">
        <v>73</v>
      </c>
      <c r="CQ56">
        <v>76</v>
      </c>
      <c r="CR56">
        <v>19</v>
      </c>
    </row>
    <row r="57" spans="1:96">
      <c r="A57">
        <v>56</v>
      </c>
      <c r="B57" t="s">
        <v>400</v>
      </c>
      <c r="C57" t="s">
        <v>96</v>
      </c>
      <c r="D57" t="s">
        <v>97</v>
      </c>
      <c r="E57" t="s">
        <v>401</v>
      </c>
      <c r="F57">
        <v>85</v>
      </c>
      <c r="G57">
        <v>30</v>
      </c>
      <c r="H57" t="s">
        <v>402</v>
      </c>
      <c r="I57" t="s">
        <v>400</v>
      </c>
      <c r="J57">
        <v>85</v>
      </c>
      <c r="K57">
        <v>85</v>
      </c>
      <c r="L57">
        <v>52500000</v>
      </c>
      <c r="M57" t="s">
        <v>403</v>
      </c>
      <c r="N57" t="s">
        <v>97</v>
      </c>
      <c r="O57" t="s">
        <v>319</v>
      </c>
      <c r="P57" t="s">
        <v>404</v>
      </c>
      <c r="Q57">
        <v>29</v>
      </c>
      <c r="R57">
        <v>191</v>
      </c>
      <c r="S57">
        <v>84</v>
      </c>
      <c r="T57">
        <v>2170</v>
      </c>
      <c r="U57">
        <v>459</v>
      </c>
      <c r="V57" t="s">
        <v>405</v>
      </c>
      <c r="W57">
        <v>165000</v>
      </c>
      <c r="X57">
        <v>89300000</v>
      </c>
      <c r="Y57" t="s">
        <v>114</v>
      </c>
      <c r="Z57">
        <v>2026</v>
      </c>
      <c r="AA57">
        <v>10</v>
      </c>
      <c r="AB57">
        <v>2022</v>
      </c>
      <c r="AC57" t="s">
        <v>103</v>
      </c>
      <c r="AD57" t="s">
        <v>104</v>
      </c>
      <c r="AE57">
        <v>4</v>
      </c>
      <c r="AF57">
        <v>5</v>
      </c>
      <c r="AG57">
        <v>4</v>
      </c>
      <c r="AH57" t="s">
        <v>319</v>
      </c>
      <c r="AI57" t="s">
        <v>321</v>
      </c>
      <c r="AJ57" t="s">
        <v>109</v>
      </c>
      <c r="AK57">
        <v>6</v>
      </c>
      <c r="AL57" t="s">
        <v>116</v>
      </c>
      <c r="AM57" t="s">
        <v>406</v>
      </c>
      <c r="AN57">
        <v>67</v>
      </c>
      <c r="AO57">
        <v>80</v>
      </c>
      <c r="AP57">
        <v>85</v>
      </c>
      <c r="AQ57">
        <v>85</v>
      </c>
      <c r="AR57">
        <v>62</v>
      </c>
      <c r="AS57">
        <v>80</v>
      </c>
      <c r="AT57">
        <v>73</v>
      </c>
      <c r="AU57">
        <v>74</v>
      </c>
      <c r="AV57">
        <v>74</v>
      </c>
      <c r="AW57">
        <v>87</v>
      </c>
      <c r="AX57">
        <v>84</v>
      </c>
      <c r="AY57">
        <v>89</v>
      </c>
      <c r="AZ57">
        <v>85</v>
      </c>
      <c r="BA57">
        <v>82</v>
      </c>
      <c r="BB57">
        <v>92</v>
      </c>
      <c r="BC57">
        <v>87</v>
      </c>
      <c r="BD57">
        <v>60</v>
      </c>
      <c r="BE57">
        <v>72</v>
      </c>
      <c r="BF57">
        <v>71</v>
      </c>
      <c r="BG57">
        <v>77</v>
      </c>
      <c r="BH57">
        <v>65</v>
      </c>
      <c r="BI57">
        <v>90</v>
      </c>
      <c r="BJ57">
        <v>80</v>
      </c>
      <c r="BK57">
        <v>65</v>
      </c>
      <c r="BL57">
        <v>88</v>
      </c>
      <c r="BM57">
        <v>84</v>
      </c>
      <c r="BN57">
        <v>79</v>
      </c>
      <c r="BO57">
        <v>62</v>
      </c>
      <c r="BP57">
        <v>77</v>
      </c>
      <c r="BQ57">
        <v>90</v>
      </c>
      <c r="BR57">
        <v>80</v>
      </c>
      <c r="BS57">
        <v>85</v>
      </c>
      <c r="BT57">
        <v>53</v>
      </c>
      <c r="BU57">
        <v>67</v>
      </c>
      <c r="BV57">
        <v>63</v>
      </c>
      <c r="BW57">
        <v>5</v>
      </c>
      <c r="BX57">
        <v>6</v>
      </c>
      <c r="BY57">
        <v>2</v>
      </c>
      <c r="BZ57">
        <v>4</v>
      </c>
      <c r="CA57">
        <v>3</v>
      </c>
      <c r="CB57">
        <v>83</v>
      </c>
      <c r="CC57">
        <v>80</v>
      </c>
      <c r="CD57">
        <v>82</v>
      </c>
      <c r="CE57">
        <v>82</v>
      </c>
      <c r="CF57">
        <v>82</v>
      </c>
      <c r="CG57">
        <v>80</v>
      </c>
      <c r="CH57">
        <v>85</v>
      </c>
      <c r="CI57">
        <v>83</v>
      </c>
      <c r="CJ57">
        <v>85</v>
      </c>
      <c r="CK57">
        <v>83</v>
      </c>
      <c r="CL57">
        <v>74</v>
      </c>
      <c r="CM57">
        <v>78</v>
      </c>
      <c r="CN57">
        <v>74</v>
      </c>
      <c r="CO57">
        <v>72</v>
      </c>
      <c r="CP57">
        <v>73</v>
      </c>
      <c r="CQ57">
        <v>72</v>
      </c>
      <c r="CR57">
        <v>15</v>
      </c>
    </row>
    <row r="58" spans="1:96">
      <c r="A58">
        <v>57</v>
      </c>
      <c r="B58" t="s">
        <v>407</v>
      </c>
      <c r="C58" t="s">
        <v>96</v>
      </c>
      <c r="D58" t="s">
        <v>133</v>
      </c>
      <c r="E58" t="s">
        <v>147</v>
      </c>
      <c r="F58">
        <v>83</v>
      </c>
      <c r="G58">
        <v>20</v>
      </c>
      <c r="H58" t="s">
        <v>408</v>
      </c>
      <c r="I58" t="s">
        <v>409</v>
      </c>
      <c r="J58">
        <v>81</v>
      </c>
      <c r="K58">
        <v>90</v>
      </c>
      <c r="L58">
        <v>55500000</v>
      </c>
      <c r="M58" t="s">
        <v>410</v>
      </c>
      <c r="N58" t="s">
        <v>133</v>
      </c>
      <c r="O58" t="s">
        <v>127</v>
      </c>
      <c r="P58" t="s">
        <v>411</v>
      </c>
      <c r="Q58">
        <v>19</v>
      </c>
      <c r="R58">
        <v>183</v>
      </c>
      <c r="S58">
        <v>70</v>
      </c>
      <c r="T58">
        <v>2012</v>
      </c>
      <c r="U58">
        <v>434</v>
      </c>
      <c r="V58" t="s">
        <v>151</v>
      </c>
      <c r="W58">
        <v>39000</v>
      </c>
      <c r="X58">
        <v>102700000</v>
      </c>
      <c r="Y58" t="s">
        <v>114</v>
      </c>
      <c r="Z58">
        <v>2026</v>
      </c>
      <c r="AA58">
        <v>42</v>
      </c>
      <c r="AB58">
        <v>2020</v>
      </c>
      <c r="AC58" t="s">
        <v>103</v>
      </c>
      <c r="AD58" t="s">
        <v>104</v>
      </c>
      <c r="AE58">
        <v>4</v>
      </c>
      <c r="AF58">
        <v>4</v>
      </c>
      <c r="AG58">
        <v>1</v>
      </c>
      <c r="AH58" t="s">
        <v>127</v>
      </c>
      <c r="AI58" t="s">
        <v>129</v>
      </c>
      <c r="AJ58" t="s">
        <v>114</v>
      </c>
      <c r="AK58">
        <v>14</v>
      </c>
      <c r="AL58" t="s">
        <v>116</v>
      </c>
      <c r="AM58" t="s">
        <v>116</v>
      </c>
      <c r="AN58">
        <v>76</v>
      </c>
      <c r="AO58">
        <v>73</v>
      </c>
      <c r="AP58">
        <v>75</v>
      </c>
      <c r="AQ58">
        <v>87</v>
      </c>
      <c r="AR58">
        <v>63</v>
      </c>
      <c r="AS58">
        <v>60</v>
      </c>
      <c r="AT58">
        <v>66</v>
      </c>
      <c r="AU58">
        <v>76</v>
      </c>
      <c r="AV58">
        <v>49</v>
      </c>
      <c r="AW58">
        <v>83</v>
      </c>
      <c r="AX58">
        <v>63</v>
      </c>
      <c r="AY58">
        <v>88</v>
      </c>
      <c r="AZ58">
        <v>64</v>
      </c>
      <c r="BA58">
        <v>48</v>
      </c>
      <c r="BB58">
        <v>75</v>
      </c>
      <c r="BC58">
        <v>86</v>
      </c>
      <c r="BD58">
        <v>81</v>
      </c>
      <c r="BE58">
        <v>72</v>
      </c>
      <c r="BF58">
        <v>91</v>
      </c>
      <c r="BG58">
        <v>82</v>
      </c>
      <c r="BH58">
        <v>92</v>
      </c>
      <c r="BI58">
        <v>71</v>
      </c>
      <c r="BJ58">
        <v>55</v>
      </c>
      <c r="BK58">
        <v>77</v>
      </c>
      <c r="BL58">
        <v>53</v>
      </c>
      <c r="BM58">
        <v>73</v>
      </c>
      <c r="BN58">
        <v>59</v>
      </c>
      <c r="BO58">
        <v>65</v>
      </c>
      <c r="BP58">
        <v>76</v>
      </c>
      <c r="BQ58">
        <v>78</v>
      </c>
      <c r="BR58">
        <v>51</v>
      </c>
      <c r="BS58">
        <v>82</v>
      </c>
      <c r="BT58">
        <v>64</v>
      </c>
      <c r="BU58">
        <v>63</v>
      </c>
      <c r="BV58">
        <v>69</v>
      </c>
      <c r="BW58">
        <v>6</v>
      </c>
      <c r="BX58">
        <v>9</v>
      </c>
      <c r="BY58">
        <v>8</v>
      </c>
      <c r="BZ58">
        <v>8</v>
      </c>
      <c r="CA58">
        <v>11</v>
      </c>
      <c r="CB58">
        <v>76</v>
      </c>
      <c r="CC58">
        <v>80</v>
      </c>
      <c r="CD58">
        <v>80</v>
      </c>
      <c r="CE58">
        <v>80</v>
      </c>
      <c r="CF58">
        <v>80</v>
      </c>
      <c r="CG58">
        <v>80</v>
      </c>
      <c r="CH58">
        <v>83</v>
      </c>
      <c r="CI58">
        <v>82</v>
      </c>
      <c r="CJ58">
        <v>81</v>
      </c>
      <c r="CK58">
        <v>82</v>
      </c>
      <c r="CL58">
        <v>75</v>
      </c>
      <c r="CM58">
        <v>74</v>
      </c>
      <c r="CN58">
        <v>75</v>
      </c>
      <c r="CO58">
        <v>73</v>
      </c>
      <c r="CP58">
        <v>66</v>
      </c>
      <c r="CQ58">
        <v>73</v>
      </c>
      <c r="CR58">
        <v>19</v>
      </c>
    </row>
    <row r="59" spans="1:96">
      <c r="A59">
        <v>58</v>
      </c>
      <c r="B59" t="s">
        <v>412</v>
      </c>
      <c r="C59" t="s">
        <v>413</v>
      </c>
      <c r="D59" t="s">
        <v>192</v>
      </c>
      <c r="E59" t="s">
        <v>118</v>
      </c>
      <c r="F59">
        <v>90</v>
      </c>
      <c r="G59">
        <v>40</v>
      </c>
      <c r="H59" t="s">
        <v>414</v>
      </c>
      <c r="I59" t="s">
        <v>412</v>
      </c>
      <c r="J59">
        <v>90</v>
      </c>
      <c r="K59">
        <v>91</v>
      </c>
      <c r="L59">
        <v>90000000</v>
      </c>
      <c r="M59" t="s">
        <v>192</v>
      </c>
      <c r="N59" t="s">
        <v>192</v>
      </c>
      <c r="O59" t="s">
        <v>101</v>
      </c>
      <c r="P59" t="s">
        <v>415</v>
      </c>
      <c r="Q59">
        <v>30</v>
      </c>
      <c r="R59">
        <v>199</v>
      </c>
      <c r="S59">
        <v>96</v>
      </c>
      <c r="T59">
        <v>1334</v>
      </c>
      <c r="U59">
        <v>473</v>
      </c>
      <c r="V59" t="s">
        <v>123</v>
      </c>
      <c r="W59">
        <v>250000</v>
      </c>
      <c r="X59">
        <v>191300000</v>
      </c>
      <c r="Y59" t="s">
        <v>192</v>
      </c>
      <c r="Z59">
        <v>2026</v>
      </c>
      <c r="AA59">
        <v>1</v>
      </c>
      <c r="AB59">
        <v>2018</v>
      </c>
      <c r="AC59" t="s">
        <v>103</v>
      </c>
      <c r="AD59" t="s">
        <v>137</v>
      </c>
      <c r="AE59">
        <v>3</v>
      </c>
      <c r="AF59">
        <v>1</v>
      </c>
      <c r="AG59">
        <v>4</v>
      </c>
      <c r="AH59" t="s">
        <v>101</v>
      </c>
      <c r="AI59" t="s">
        <v>105</v>
      </c>
      <c r="AJ59" t="s">
        <v>192</v>
      </c>
      <c r="AK59">
        <v>1</v>
      </c>
      <c r="AL59" t="s">
        <v>116</v>
      </c>
      <c r="AM59" t="s">
        <v>116</v>
      </c>
      <c r="AN59">
        <v>84</v>
      </c>
      <c r="AO59">
        <v>89</v>
      </c>
      <c r="AP59">
        <v>75</v>
      </c>
      <c r="AQ59">
        <v>90</v>
      </c>
      <c r="AR59">
        <v>46</v>
      </c>
      <c r="AS59">
        <v>89</v>
      </c>
      <c r="AT59">
        <v>14</v>
      </c>
      <c r="AU59">
        <v>14</v>
      </c>
      <c r="AV59">
        <v>13</v>
      </c>
      <c r="AW59">
        <v>33</v>
      </c>
      <c r="AX59">
        <v>12</v>
      </c>
      <c r="AY59">
        <v>13</v>
      </c>
      <c r="AZ59">
        <v>19</v>
      </c>
      <c r="BA59">
        <v>20</v>
      </c>
      <c r="BB59">
        <v>35</v>
      </c>
      <c r="BC59">
        <v>23</v>
      </c>
      <c r="BD59">
        <v>42</v>
      </c>
      <c r="BE59">
        <v>52</v>
      </c>
      <c r="BF59">
        <v>63</v>
      </c>
      <c r="BG59">
        <v>84</v>
      </c>
      <c r="BH59">
        <v>45</v>
      </c>
      <c r="BI59">
        <v>56</v>
      </c>
      <c r="BJ59">
        <v>68</v>
      </c>
      <c r="BK59">
        <v>38</v>
      </c>
      <c r="BL59">
        <v>70</v>
      </c>
      <c r="BM59">
        <v>17</v>
      </c>
      <c r="BN59">
        <v>23</v>
      </c>
      <c r="BO59">
        <v>15</v>
      </c>
      <c r="BP59">
        <v>13</v>
      </c>
      <c r="BQ59">
        <v>44</v>
      </c>
      <c r="BR59">
        <v>27</v>
      </c>
      <c r="BS59">
        <v>66</v>
      </c>
      <c r="BT59">
        <v>20</v>
      </c>
      <c r="BU59">
        <v>18</v>
      </c>
      <c r="BV59">
        <v>16</v>
      </c>
      <c r="BW59">
        <v>84</v>
      </c>
      <c r="BX59">
        <v>89</v>
      </c>
      <c r="BY59">
        <v>75</v>
      </c>
      <c r="BZ59">
        <v>89</v>
      </c>
      <c r="CA59">
        <v>90</v>
      </c>
      <c r="CB59">
        <v>34</v>
      </c>
      <c r="CC59">
        <v>29</v>
      </c>
      <c r="CD59">
        <v>31</v>
      </c>
      <c r="CE59">
        <v>31</v>
      </c>
      <c r="CF59">
        <v>31</v>
      </c>
      <c r="CG59">
        <v>29</v>
      </c>
      <c r="CH59">
        <v>35</v>
      </c>
      <c r="CI59">
        <v>34</v>
      </c>
      <c r="CJ59">
        <v>35</v>
      </c>
      <c r="CK59">
        <v>34</v>
      </c>
      <c r="CL59">
        <v>32</v>
      </c>
      <c r="CM59">
        <v>34</v>
      </c>
      <c r="CN59">
        <v>32</v>
      </c>
      <c r="CO59">
        <v>32</v>
      </c>
      <c r="CP59">
        <v>32</v>
      </c>
      <c r="CQ59">
        <v>32</v>
      </c>
      <c r="CR59">
        <v>90</v>
      </c>
    </row>
    <row r="60" spans="1:96">
      <c r="A60">
        <v>59</v>
      </c>
      <c r="B60" t="s">
        <v>416</v>
      </c>
      <c r="C60" t="s">
        <v>413</v>
      </c>
      <c r="D60" t="s">
        <v>192</v>
      </c>
      <c r="E60" t="s">
        <v>182</v>
      </c>
      <c r="F60">
        <v>89</v>
      </c>
      <c r="G60">
        <v>40</v>
      </c>
      <c r="H60" t="s">
        <v>417</v>
      </c>
      <c r="I60" t="s">
        <v>418</v>
      </c>
      <c r="J60">
        <v>68</v>
      </c>
      <c r="K60">
        <v>68</v>
      </c>
      <c r="L60">
        <v>825000</v>
      </c>
      <c r="M60" t="s">
        <v>419</v>
      </c>
      <c r="N60" t="s">
        <v>419</v>
      </c>
      <c r="O60" t="s">
        <v>112</v>
      </c>
      <c r="P60" t="s">
        <v>420</v>
      </c>
      <c r="Q60">
        <v>31</v>
      </c>
      <c r="R60">
        <v>186</v>
      </c>
      <c r="S60">
        <v>77</v>
      </c>
      <c r="T60">
        <v>1604</v>
      </c>
      <c r="U60">
        <v>352</v>
      </c>
      <c r="V60" t="s">
        <v>421</v>
      </c>
      <c r="W60">
        <v>6000</v>
      </c>
      <c r="X60">
        <v>1600000</v>
      </c>
      <c r="Y60" t="s">
        <v>419</v>
      </c>
      <c r="Z60">
        <v>2024</v>
      </c>
      <c r="AA60">
        <v>33</v>
      </c>
      <c r="AB60">
        <v>2022</v>
      </c>
      <c r="AC60" t="s">
        <v>103</v>
      </c>
      <c r="AD60" t="s">
        <v>104</v>
      </c>
      <c r="AE60">
        <v>3</v>
      </c>
      <c r="AF60">
        <v>2</v>
      </c>
      <c r="AG60">
        <v>1</v>
      </c>
      <c r="AH60" t="s">
        <v>103</v>
      </c>
      <c r="AI60" t="s">
        <v>115</v>
      </c>
      <c r="AJ60" t="s">
        <v>103</v>
      </c>
      <c r="AK60" t="s">
        <v>103</v>
      </c>
      <c r="AL60" t="s">
        <v>116</v>
      </c>
      <c r="AM60" t="s">
        <v>116</v>
      </c>
      <c r="AN60">
        <v>71</v>
      </c>
      <c r="AO60">
        <v>35</v>
      </c>
      <c r="AP60">
        <v>49</v>
      </c>
      <c r="AQ60">
        <v>58</v>
      </c>
      <c r="AR60">
        <v>69</v>
      </c>
      <c r="AS60">
        <v>70</v>
      </c>
      <c r="AT60">
        <v>41</v>
      </c>
      <c r="AU60">
        <v>33</v>
      </c>
      <c r="AV60">
        <v>70</v>
      </c>
      <c r="AW60">
        <v>55</v>
      </c>
      <c r="AX60">
        <v>41</v>
      </c>
      <c r="AY60">
        <v>56</v>
      </c>
      <c r="AZ60">
        <v>37</v>
      </c>
      <c r="BA60">
        <v>28</v>
      </c>
      <c r="BB60">
        <v>59</v>
      </c>
      <c r="BC60">
        <v>60</v>
      </c>
      <c r="BD60">
        <v>73</v>
      </c>
      <c r="BE60">
        <v>70</v>
      </c>
      <c r="BF60">
        <v>54</v>
      </c>
      <c r="BG60">
        <v>70</v>
      </c>
      <c r="BH60">
        <v>59</v>
      </c>
      <c r="BI60">
        <v>41</v>
      </c>
      <c r="BJ60">
        <v>75</v>
      </c>
      <c r="BK60">
        <v>62</v>
      </c>
      <c r="BL60">
        <v>74</v>
      </c>
      <c r="BM60">
        <v>32</v>
      </c>
      <c r="BN60">
        <v>68</v>
      </c>
      <c r="BO60">
        <v>67</v>
      </c>
      <c r="BP60">
        <v>27</v>
      </c>
      <c r="BQ60">
        <v>48</v>
      </c>
      <c r="BR60">
        <v>48</v>
      </c>
      <c r="BS60">
        <v>68</v>
      </c>
      <c r="BT60">
        <v>69</v>
      </c>
      <c r="BU60">
        <v>68</v>
      </c>
      <c r="BV60">
        <v>71</v>
      </c>
      <c r="BW60">
        <v>7</v>
      </c>
      <c r="BX60">
        <v>7</v>
      </c>
      <c r="BY60">
        <v>6</v>
      </c>
      <c r="BZ60">
        <v>14</v>
      </c>
      <c r="CA60">
        <v>14</v>
      </c>
      <c r="CB60">
        <v>53</v>
      </c>
      <c r="CC60">
        <v>52</v>
      </c>
      <c r="CD60">
        <v>51</v>
      </c>
      <c r="CE60">
        <v>51</v>
      </c>
      <c r="CF60">
        <v>51</v>
      </c>
      <c r="CG60">
        <v>52</v>
      </c>
      <c r="CH60">
        <v>54</v>
      </c>
      <c r="CI60">
        <v>56</v>
      </c>
      <c r="CJ60">
        <v>57</v>
      </c>
      <c r="CK60">
        <v>56</v>
      </c>
      <c r="CL60">
        <v>64</v>
      </c>
      <c r="CM60">
        <v>66</v>
      </c>
      <c r="CN60">
        <v>64</v>
      </c>
      <c r="CO60">
        <v>67</v>
      </c>
      <c r="CP60">
        <v>68</v>
      </c>
      <c r="CQ60">
        <v>67</v>
      </c>
      <c r="CR60">
        <v>19</v>
      </c>
    </row>
    <row r="61" spans="1:96">
      <c r="A61">
        <v>60</v>
      </c>
      <c r="B61" t="s">
        <v>422</v>
      </c>
      <c r="C61" t="s">
        <v>413</v>
      </c>
      <c r="D61" t="s">
        <v>192</v>
      </c>
      <c r="E61" t="s">
        <v>98</v>
      </c>
      <c r="F61">
        <v>89</v>
      </c>
      <c r="G61">
        <v>40</v>
      </c>
      <c r="H61" t="s">
        <v>422</v>
      </c>
      <c r="I61" t="s">
        <v>423</v>
      </c>
      <c r="J61">
        <v>89</v>
      </c>
      <c r="K61">
        <v>91</v>
      </c>
      <c r="L61">
        <v>88000000</v>
      </c>
      <c r="M61" t="s">
        <v>192</v>
      </c>
      <c r="N61" t="s">
        <v>192</v>
      </c>
      <c r="O61" t="s">
        <v>112</v>
      </c>
      <c r="P61" t="s">
        <v>424</v>
      </c>
      <c r="Q61">
        <v>28</v>
      </c>
      <c r="R61">
        <v>188</v>
      </c>
      <c r="S61">
        <v>86</v>
      </c>
      <c r="T61">
        <v>1583</v>
      </c>
      <c r="U61">
        <v>502</v>
      </c>
      <c r="V61" t="s">
        <v>98</v>
      </c>
      <c r="W61">
        <v>210000</v>
      </c>
      <c r="X61">
        <v>169400000</v>
      </c>
      <c r="Y61" t="s">
        <v>192</v>
      </c>
      <c r="Z61">
        <v>2026</v>
      </c>
      <c r="AA61">
        <v>31</v>
      </c>
      <c r="AB61">
        <v>2017</v>
      </c>
      <c r="AC61" t="s">
        <v>103</v>
      </c>
      <c r="AD61" t="s">
        <v>137</v>
      </c>
      <c r="AE61">
        <v>3</v>
      </c>
      <c r="AF61">
        <v>1</v>
      </c>
      <c r="AG61">
        <v>3</v>
      </c>
      <c r="AH61" t="s">
        <v>103</v>
      </c>
      <c r="AI61" t="s">
        <v>115</v>
      </c>
      <c r="AJ61" t="s">
        <v>103</v>
      </c>
      <c r="AK61" t="s">
        <v>103</v>
      </c>
      <c r="AL61" t="s">
        <v>116</v>
      </c>
      <c r="AM61" t="s">
        <v>116</v>
      </c>
      <c r="AN61">
        <v>87</v>
      </c>
      <c r="AO61">
        <v>82</v>
      </c>
      <c r="AP61">
        <v>93</v>
      </c>
      <c r="AQ61">
        <v>88</v>
      </c>
      <c r="AR61">
        <v>64</v>
      </c>
      <c r="AS61">
        <v>88</v>
      </c>
      <c r="AT61">
        <v>20</v>
      </c>
      <c r="AU61">
        <v>14</v>
      </c>
      <c r="AV61">
        <v>14</v>
      </c>
      <c r="AW61">
        <v>61</v>
      </c>
      <c r="AX61">
        <v>18</v>
      </c>
      <c r="AY61">
        <v>23</v>
      </c>
      <c r="AZ61">
        <v>15</v>
      </c>
      <c r="BA61">
        <v>20</v>
      </c>
      <c r="BB61">
        <v>66</v>
      </c>
      <c r="BC61">
        <v>40</v>
      </c>
      <c r="BD61">
        <v>64</v>
      </c>
      <c r="BE61">
        <v>63</v>
      </c>
      <c r="BF61">
        <v>60</v>
      </c>
      <c r="BG61">
        <v>88</v>
      </c>
      <c r="BH61">
        <v>48</v>
      </c>
      <c r="BI61">
        <v>70</v>
      </c>
      <c r="BJ61">
        <v>66</v>
      </c>
      <c r="BK61">
        <v>41</v>
      </c>
      <c r="BL61">
        <v>78</v>
      </c>
      <c r="BM61">
        <v>18</v>
      </c>
      <c r="BN61">
        <v>38</v>
      </c>
      <c r="BO61">
        <v>27</v>
      </c>
      <c r="BP61">
        <v>20</v>
      </c>
      <c r="BQ61">
        <v>70</v>
      </c>
      <c r="BR61">
        <v>51</v>
      </c>
      <c r="BS61">
        <v>70</v>
      </c>
      <c r="BT61">
        <v>29</v>
      </c>
      <c r="BU61">
        <v>15</v>
      </c>
      <c r="BV61">
        <v>8</v>
      </c>
      <c r="BW61">
        <v>87</v>
      </c>
      <c r="BX61">
        <v>82</v>
      </c>
      <c r="BY61">
        <v>93</v>
      </c>
      <c r="BZ61">
        <v>88</v>
      </c>
      <c r="CA61">
        <v>88</v>
      </c>
      <c r="CB61">
        <v>43</v>
      </c>
      <c r="CC61">
        <v>41</v>
      </c>
      <c r="CD61">
        <v>43</v>
      </c>
      <c r="CE61">
        <v>43</v>
      </c>
      <c r="CF61">
        <v>43</v>
      </c>
      <c r="CG61">
        <v>41</v>
      </c>
      <c r="CH61">
        <v>50</v>
      </c>
      <c r="CI61">
        <v>47</v>
      </c>
      <c r="CJ61">
        <v>52</v>
      </c>
      <c r="CK61">
        <v>47</v>
      </c>
      <c r="CL61">
        <v>40</v>
      </c>
      <c r="CM61">
        <v>47</v>
      </c>
      <c r="CN61">
        <v>40</v>
      </c>
      <c r="CO61">
        <v>39</v>
      </c>
      <c r="CP61">
        <v>38</v>
      </c>
      <c r="CQ61">
        <v>39</v>
      </c>
      <c r="CR61">
        <v>90</v>
      </c>
    </row>
    <row r="62" spans="1:96">
      <c r="A62">
        <v>61</v>
      </c>
      <c r="B62" t="s">
        <v>425</v>
      </c>
      <c r="C62" t="s">
        <v>413</v>
      </c>
      <c r="D62" t="s">
        <v>192</v>
      </c>
      <c r="E62" t="s">
        <v>426</v>
      </c>
      <c r="F62">
        <v>89</v>
      </c>
      <c r="G62">
        <v>40</v>
      </c>
      <c r="H62" t="s">
        <v>427</v>
      </c>
      <c r="I62" t="s">
        <v>425</v>
      </c>
      <c r="J62">
        <v>90</v>
      </c>
      <c r="K62">
        <v>90</v>
      </c>
      <c r="L62">
        <v>13500000</v>
      </c>
      <c r="M62" t="s">
        <v>192</v>
      </c>
      <c r="N62" t="s">
        <v>192</v>
      </c>
      <c r="O62" t="s">
        <v>127</v>
      </c>
      <c r="P62" t="s">
        <v>428</v>
      </c>
      <c r="Q62">
        <v>36</v>
      </c>
      <c r="R62">
        <v>193</v>
      </c>
      <c r="S62">
        <v>93</v>
      </c>
      <c r="T62">
        <v>1535</v>
      </c>
      <c r="U62">
        <v>501</v>
      </c>
      <c r="V62" t="s">
        <v>151</v>
      </c>
      <c r="W62">
        <v>72000</v>
      </c>
      <c r="X62">
        <v>22300000</v>
      </c>
      <c r="Y62" t="s">
        <v>192</v>
      </c>
      <c r="Z62">
        <v>2024</v>
      </c>
      <c r="AA62">
        <v>1</v>
      </c>
      <c r="AB62">
        <v>2011</v>
      </c>
      <c r="AC62" t="s">
        <v>103</v>
      </c>
      <c r="AD62" t="s">
        <v>104</v>
      </c>
      <c r="AE62">
        <v>4</v>
      </c>
      <c r="AF62">
        <v>1</v>
      </c>
      <c r="AG62">
        <v>5</v>
      </c>
      <c r="AH62" t="s">
        <v>127</v>
      </c>
      <c r="AI62" t="s">
        <v>129</v>
      </c>
      <c r="AJ62" t="s">
        <v>192</v>
      </c>
      <c r="AK62">
        <v>1</v>
      </c>
      <c r="AL62" t="s">
        <v>116</v>
      </c>
      <c r="AM62" t="s">
        <v>116</v>
      </c>
      <c r="AN62">
        <v>87</v>
      </c>
      <c r="AO62">
        <v>88</v>
      </c>
      <c r="AP62">
        <v>91</v>
      </c>
      <c r="AQ62">
        <v>88</v>
      </c>
      <c r="AR62">
        <v>56</v>
      </c>
      <c r="AS62">
        <v>91</v>
      </c>
      <c r="AT62">
        <v>15</v>
      </c>
      <c r="AU62">
        <v>13</v>
      </c>
      <c r="AV62">
        <v>25</v>
      </c>
      <c r="AW62">
        <v>60</v>
      </c>
      <c r="AX62">
        <v>11</v>
      </c>
      <c r="AY62">
        <v>30</v>
      </c>
      <c r="AZ62">
        <v>14</v>
      </c>
      <c r="BA62">
        <v>11</v>
      </c>
      <c r="BB62">
        <v>68</v>
      </c>
      <c r="BC62">
        <v>46</v>
      </c>
      <c r="BD62">
        <v>54</v>
      </c>
      <c r="BE62">
        <v>60</v>
      </c>
      <c r="BF62">
        <v>51</v>
      </c>
      <c r="BG62">
        <v>87</v>
      </c>
      <c r="BH62">
        <v>35</v>
      </c>
      <c r="BI62">
        <v>68</v>
      </c>
      <c r="BJ62">
        <v>77</v>
      </c>
      <c r="BK62">
        <v>43</v>
      </c>
      <c r="BL62">
        <v>80</v>
      </c>
      <c r="BM62">
        <v>16</v>
      </c>
      <c r="BN62">
        <v>29</v>
      </c>
      <c r="BO62">
        <v>30</v>
      </c>
      <c r="BP62">
        <v>12</v>
      </c>
      <c r="BQ62">
        <v>70</v>
      </c>
      <c r="BR62">
        <v>47</v>
      </c>
      <c r="BS62">
        <v>70</v>
      </c>
      <c r="BT62">
        <v>17</v>
      </c>
      <c r="BU62">
        <v>10</v>
      </c>
      <c r="BV62">
        <v>11</v>
      </c>
      <c r="BW62">
        <v>87</v>
      </c>
      <c r="BX62">
        <v>88</v>
      </c>
      <c r="BY62">
        <v>91</v>
      </c>
      <c r="BZ62">
        <v>91</v>
      </c>
      <c r="CA62">
        <v>88</v>
      </c>
      <c r="CB62">
        <v>43</v>
      </c>
      <c r="CC62">
        <v>40</v>
      </c>
      <c r="CD62">
        <v>43</v>
      </c>
      <c r="CE62">
        <v>43</v>
      </c>
      <c r="CF62">
        <v>43</v>
      </c>
      <c r="CG62">
        <v>40</v>
      </c>
      <c r="CH62">
        <v>50</v>
      </c>
      <c r="CI62">
        <v>47</v>
      </c>
      <c r="CJ62">
        <v>53</v>
      </c>
      <c r="CK62">
        <v>47</v>
      </c>
      <c r="CL62">
        <v>39</v>
      </c>
      <c r="CM62">
        <v>46</v>
      </c>
      <c r="CN62">
        <v>39</v>
      </c>
      <c r="CO62">
        <v>38</v>
      </c>
      <c r="CP62">
        <v>37</v>
      </c>
      <c r="CQ62">
        <v>38</v>
      </c>
      <c r="CR62">
        <v>90</v>
      </c>
    </row>
    <row r="63" spans="1:96">
      <c r="A63">
        <v>62</v>
      </c>
      <c r="B63" t="s">
        <v>429</v>
      </c>
      <c r="C63" t="s">
        <v>413</v>
      </c>
      <c r="D63" t="s">
        <v>192</v>
      </c>
      <c r="E63" t="s">
        <v>284</v>
      </c>
      <c r="F63">
        <v>88</v>
      </c>
      <c r="G63">
        <v>40</v>
      </c>
      <c r="H63" t="s">
        <v>430</v>
      </c>
      <c r="I63" t="s">
        <v>429</v>
      </c>
      <c r="J63">
        <v>89</v>
      </c>
      <c r="K63">
        <v>91</v>
      </c>
      <c r="L63">
        <v>85500000</v>
      </c>
      <c r="M63" t="s">
        <v>192</v>
      </c>
      <c r="N63" t="s">
        <v>192</v>
      </c>
      <c r="O63" t="s">
        <v>431</v>
      </c>
      <c r="P63" t="s">
        <v>432</v>
      </c>
      <c r="Q63">
        <v>29</v>
      </c>
      <c r="R63">
        <v>188</v>
      </c>
      <c r="S63">
        <v>87</v>
      </c>
      <c r="T63">
        <v>1402</v>
      </c>
      <c r="U63">
        <v>479</v>
      </c>
      <c r="V63" t="s">
        <v>256</v>
      </c>
      <c r="W63">
        <v>100000</v>
      </c>
      <c r="X63">
        <v>181700000</v>
      </c>
      <c r="Y63" t="s">
        <v>192</v>
      </c>
      <c r="Z63">
        <v>2023</v>
      </c>
      <c r="AA63">
        <v>13</v>
      </c>
      <c r="AB63">
        <v>2014</v>
      </c>
      <c r="AC63" t="s">
        <v>103</v>
      </c>
      <c r="AD63" t="s">
        <v>104</v>
      </c>
      <c r="AE63">
        <v>3</v>
      </c>
      <c r="AF63">
        <v>1</v>
      </c>
      <c r="AG63">
        <v>5</v>
      </c>
      <c r="AH63" t="s">
        <v>103</v>
      </c>
      <c r="AI63" t="s">
        <v>103</v>
      </c>
      <c r="AJ63" t="s">
        <v>103</v>
      </c>
      <c r="AK63" t="s">
        <v>103</v>
      </c>
      <c r="AL63" t="s">
        <v>116</v>
      </c>
      <c r="AM63" t="s">
        <v>116</v>
      </c>
      <c r="AN63">
        <v>86</v>
      </c>
      <c r="AO63">
        <v>90</v>
      </c>
      <c r="AP63">
        <v>78</v>
      </c>
      <c r="AQ63">
        <v>89</v>
      </c>
      <c r="AR63">
        <v>49</v>
      </c>
      <c r="AS63">
        <v>87</v>
      </c>
      <c r="AT63">
        <v>13</v>
      </c>
      <c r="AU63">
        <v>11</v>
      </c>
      <c r="AV63">
        <v>15</v>
      </c>
      <c r="AW63">
        <v>43</v>
      </c>
      <c r="AX63">
        <v>13</v>
      </c>
      <c r="AY63">
        <v>12</v>
      </c>
      <c r="AZ63">
        <v>13</v>
      </c>
      <c r="BA63">
        <v>14</v>
      </c>
      <c r="BB63">
        <v>40</v>
      </c>
      <c r="BC63">
        <v>30</v>
      </c>
      <c r="BD63">
        <v>43</v>
      </c>
      <c r="BE63">
        <v>58</v>
      </c>
      <c r="BF63">
        <v>65</v>
      </c>
      <c r="BG63">
        <v>87</v>
      </c>
      <c r="BH63">
        <v>49</v>
      </c>
      <c r="BI63">
        <v>59</v>
      </c>
      <c r="BJ63">
        <v>77</v>
      </c>
      <c r="BK63">
        <v>41</v>
      </c>
      <c r="BL63">
        <v>78</v>
      </c>
      <c r="BM63">
        <v>12</v>
      </c>
      <c r="BN63">
        <v>34</v>
      </c>
      <c r="BO63">
        <v>21</v>
      </c>
      <c r="BP63">
        <v>11</v>
      </c>
      <c r="BQ63">
        <v>65</v>
      </c>
      <c r="BR63">
        <v>11</v>
      </c>
      <c r="BS63">
        <v>68</v>
      </c>
      <c r="BT63">
        <v>27</v>
      </c>
      <c r="BU63">
        <v>12</v>
      </c>
      <c r="BV63">
        <v>18</v>
      </c>
      <c r="BW63">
        <v>86</v>
      </c>
      <c r="BX63">
        <v>90</v>
      </c>
      <c r="BY63">
        <v>78</v>
      </c>
      <c r="BZ63">
        <v>87</v>
      </c>
      <c r="CA63">
        <v>89</v>
      </c>
      <c r="CB63">
        <v>36</v>
      </c>
      <c r="CC63">
        <v>32</v>
      </c>
      <c r="CD63">
        <v>34</v>
      </c>
      <c r="CE63">
        <v>34</v>
      </c>
      <c r="CF63">
        <v>34</v>
      </c>
      <c r="CG63">
        <v>32</v>
      </c>
      <c r="CH63">
        <v>41</v>
      </c>
      <c r="CI63">
        <v>37</v>
      </c>
      <c r="CJ63">
        <v>41</v>
      </c>
      <c r="CK63">
        <v>37</v>
      </c>
      <c r="CL63">
        <v>35</v>
      </c>
      <c r="CM63">
        <v>40</v>
      </c>
      <c r="CN63">
        <v>35</v>
      </c>
      <c r="CO63">
        <v>35</v>
      </c>
      <c r="CP63">
        <v>36</v>
      </c>
      <c r="CQ63">
        <v>35</v>
      </c>
      <c r="CR63">
        <v>90</v>
      </c>
    </row>
    <row r="64" spans="1:96">
      <c r="A64">
        <v>63</v>
      </c>
      <c r="B64" t="s">
        <v>433</v>
      </c>
      <c r="C64" t="s">
        <v>413</v>
      </c>
      <c r="D64" t="s">
        <v>192</v>
      </c>
      <c r="E64" t="s">
        <v>140</v>
      </c>
      <c r="F64">
        <v>88</v>
      </c>
      <c r="G64">
        <v>40</v>
      </c>
      <c r="H64" t="s">
        <v>434</v>
      </c>
      <c r="I64" t="s">
        <v>435</v>
      </c>
      <c r="J64">
        <v>88</v>
      </c>
      <c r="K64">
        <v>89</v>
      </c>
      <c r="L64">
        <v>68500000</v>
      </c>
      <c r="M64" t="s">
        <v>192</v>
      </c>
      <c r="N64" t="s">
        <v>192</v>
      </c>
      <c r="O64" t="s">
        <v>127</v>
      </c>
      <c r="P64" t="s">
        <v>436</v>
      </c>
      <c r="Q64">
        <v>30</v>
      </c>
      <c r="R64">
        <v>187</v>
      </c>
      <c r="S64">
        <v>85</v>
      </c>
      <c r="T64">
        <v>1443</v>
      </c>
      <c r="U64">
        <v>480</v>
      </c>
      <c r="V64" t="s">
        <v>144</v>
      </c>
      <c r="W64">
        <v>210000</v>
      </c>
      <c r="X64">
        <v>145600000</v>
      </c>
      <c r="Y64" t="s">
        <v>192</v>
      </c>
      <c r="Z64">
        <v>2025</v>
      </c>
      <c r="AA64">
        <v>1</v>
      </c>
      <c r="AB64">
        <v>2014</v>
      </c>
      <c r="AC64" t="s">
        <v>103</v>
      </c>
      <c r="AD64" t="s">
        <v>104</v>
      </c>
      <c r="AE64">
        <v>4</v>
      </c>
      <c r="AF64">
        <v>1</v>
      </c>
      <c r="AG64">
        <v>4</v>
      </c>
      <c r="AH64" t="s">
        <v>127</v>
      </c>
      <c r="AI64" t="s">
        <v>129</v>
      </c>
      <c r="AJ64" t="s">
        <v>114</v>
      </c>
      <c r="AK64">
        <v>12</v>
      </c>
      <c r="AL64" t="s">
        <v>116</v>
      </c>
      <c r="AM64" t="s">
        <v>116</v>
      </c>
      <c r="AN64">
        <v>86</v>
      </c>
      <c r="AO64">
        <v>85</v>
      </c>
      <c r="AP64">
        <v>87</v>
      </c>
      <c r="AQ64">
        <v>90</v>
      </c>
      <c r="AR64">
        <v>47</v>
      </c>
      <c r="AS64">
        <v>85</v>
      </c>
      <c r="AT64">
        <v>18</v>
      </c>
      <c r="AU64">
        <v>14</v>
      </c>
      <c r="AV64">
        <v>11</v>
      </c>
      <c r="AW64">
        <v>61</v>
      </c>
      <c r="AX64">
        <v>14</v>
      </c>
      <c r="AY64">
        <v>21</v>
      </c>
      <c r="AZ64">
        <v>18</v>
      </c>
      <c r="BA64">
        <v>12</v>
      </c>
      <c r="BB64">
        <v>63</v>
      </c>
      <c r="BC64">
        <v>30</v>
      </c>
      <c r="BD64">
        <v>45</v>
      </c>
      <c r="BE64">
        <v>50</v>
      </c>
      <c r="BF64">
        <v>39</v>
      </c>
      <c r="BG64">
        <v>85</v>
      </c>
      <c r="BH64">
        <v>43</v>
      </c>
      <c r="BI64">
        <v>65</v>
      </c>
      <c r="BJ64">
        <v>79</v>
      </c>
      <c r="BK64">
        <v>35</v>
      </c>
      <c r="BL64">
        <v>78</v>
      </c>
      <c r="BM64">
        <v>10</v>
      </c>
      <c r="BN64">
        <v>43</v>
      </c>
      <c r="BO64">
        <v>22</v>
      </c>
      <c r="BP64">
        <v>11</v>
      </c>
      <c r="BQ64">
        <v>70</v>
      </c>
      <c r="BR64">
        <v>25</v>
      </c>
      <c r="BS64">
        <v>70</v>
      </c>
      <c r="BT64">
        <v>25</v>
      </c>
      <c r="BU64">
        <v>13</v>
      </c>
      <c r="BV64">
        <v>10</v>
      </c>
      <c r="BW64">
        <v>86</v>
      </c>
      <c r="BX64">
        <v>85</v>
      </c>
      <c r="BY64">
        <v>87</v>
      </c>
      <c r="BZ64">
        <v>85</v>
      </c>
      <c r="CA64">
        <v>90</v>
      </c>
      <c r="CB64">
        <v>38</v>
      </c>
      <c r="CC64">
        <v>35</v>
      </c>
      <c r="CD64">
        <v>38</v>
      </c>
      <c r="CE64">
        <v>38</v>
      </c>
      <c r="CF64">
        <v>38</v>
      </c>
      <c r="CG64">
        <v>35</v>
      </c>
      <c r="CH64">
        <v>45</v>
      </c>
      <c r="CI64">
        <v>42</v>
      </c>
      <c r="CJ64">
        <v>48</v>
      </c>
      <c r="CK64">
        <v>42</v>
      </c>
      <c r="CL64">
        <v>36</v>
      </c>
      <c r="CM64">
        <v>44</v>
      </c>
      <c r="CN64">
        <v>36</v>
      </c>
      <c r="CO64">
        <v>34</v>
      </c>
      <c r="CP64">
        <v>36</v>
      </c>
      <c r="CQ64">
        <v>34</v>
      </c>
      <c r="CR64">
        <v>89</v>
      </c>
    </row>
    <row r="65" spans="1:96">
      <c r="A65">
        <v>64</v>
      </c>
      <c r="B65" t="s">
        <v>437</v>
      </c>
      <c r="C65" t="s">
        <v>413</v>
      </c>
      <c r="D65" t="s">
        <v>192</v>
      </c>
      <c r="E65" t="s">
        <v>153</v>
      </c>
      <c r="F65">
        <v>88</v>
      </c>
      <c r="G65">
        <v>40</v>
      </c>
      <c r="H65" t="s">
        <v>438</v>
      </c>
      <c r="I65" t="s">
        <v>437</v>
      </c>
      <c r="J65">
        <v>88</v>
      </c>
      <c r="K65">
        <v>92</v>
      </c>
      <c r="L65">
        <v>103500000</v>
      </c>
      <c r="M65" t="s">
        <v>192</v>
      </c>
      <c r="N65" t="s">
        <v>192</v>
      </c>
      <c r="O65" t="s">
        <v>156</v>
      </c>
      <c r="P65" t="s">
        <v>439</v>
      </c>
      <c r="Q65">
        <v>23</v>
      </c>
      <c r="R65">
        <v>196</v>
      </c>
      <c r="S65">
        <v>90</v>
      </c>
      <c r="T65">
        <v>1375</v>
      </c>
      <c r="U65">
        <v>478</v>
      </c>
      <c r="V65" t="s">
        <v>158</v>
      </c>
      <c r="W65">
        <v>110000</v>
      </c>
      <c r="X65">
        <v>199200000</v>
      </c>
      <c r="Y65" t="s">
        <v>192</v>
      </c>
      <c r="Z65">
        <v>2026</v>
      </c>
      <c r="AA65">
        <v>99</v>
      </c>
      <c r="AB65">
        <v>2021</v>
      </c>
      <c r="AC65" t="s">
        <v>103</v>
      </c>
      <c r="AD65" t="s">
        <v>104</v>
      </c>
      <c r="AE65">
        <v>3</v>
      </c>
      <c r="AF65">
        <v>1</v>
      </c>
      <c r="AG65">
        <v>3</v>
      </c>
      <c r="AH65" t="s">
        <v>156</v>
      </c>
      <c r="AI65" t="s">
        <v>159</v>
      </c>
      <c r="AJ65" t="s">
        <v>192</v>
      </c>
      <c r="AK65">
        <v>21</v>
      </c>
      <c r="AL65" t="s">
        <v>116</v>
      </c>
      <c r="AM65" t="s">
        <v>116</v>
      </c>
      <c r="AN65">
        <v>90</v>
      </c>
      <c r="AO65">
        <v>83</v>
      </c>
      <c r="AP65">
        <v>79</v>
      </c>
      <c r="AQ65">
        <v>89</v>
      </c>
      <c r="AR65">
        <v>52</v>
      </c>
      <c r="AS65">
        <v>85</v>
      </c>
      <c r="AT65">
        <v>12</v>
      </c>
      <c r="AU65">
        <v>12</v>
      </c>
      <c r="AV65">
        <v>12</v>
      </c>
      <c r="AW65">
        <v>36</v>
      </c>
      <c r="AX65">
        <v>8</v>
      </c>
      <c r="AY65">
        <v>28</v>
      </c>
      <c r="AZ65">
        <v>12</v>
      </c>
      <c r="BA65">
        <v>14</v>
      </c>
      <c r="BB65">
        <v>34</v>
      </c>
      <c r="BC65">
        <v>30</v>
      </c>
      <c r="BD65">
        <v>50</v>
      </c>
      <c r="BE65">
        <v>55</v>
      </c>
      <c r="BF65">
        <v>64</v>
      </c>
      <c r="BG65">
        <v>85</v>
      </c>
      <c r="BH65">
        <v>38</v>
      </c>
      <c r="BI65">
        <v>59</v>
      </c>
      <c r="BJ65">
        <v>72</v>
      </c>
      <c r="BK65">
        <v>34</v>
      </c>
      <c r="BL65">
        <v>72</v>
      </c>
      <c r="BM65">
        <v>18</v>
      </c>
      <c r="BN65">
        <v>30</v>
      </c>
      <c r="BO65">
        <v>26</v>
      </c>
      <c r="BP65">
        <v>14</v>
      </c>
      <c r="BQ65">
        <v>60</v>
      </c>
      <c r="BR65">
        <v>24</v>
      </c>
      <c r="BS65">
        <v>65</v>
      </c>
      <c r="BT65">
        <v>20</v>
      </c>
      <c r="BU65">
        <v>14</v>
      </c>
      <c r="BV65">
        <v>16</v>
      </c>
      <c r="BW65">
        <v>90</v>
      </c>
      <c r="BX65">
        <v>83</v>
      </c>
      <c r="BY65">
        <v>79</v>
      </c>
      <c r="BZ65">
        <v>85</v>
      </c>
      <c r="CA65">
        <v>89</v>
      </c>
      <c r="CB65">
        <v>37</v>
      </c>
      <c r="CC65">
        <v>34</v>
      </c>
      <c r="CD65">
        <v>36</v>
      </c>
      <c r="CE65">
        <v>36</v>
      </c>
      <c r="CF65">
        <v>36</v>
      </c>
      <c r="CG65">
        <v>34</v>
      </c>
      <c r="CH65">
        <v>41</v>
      </c>
      <c r="CI65">
        <v>38</v>
      </c>
      <c r="CJ65">
        <v>40</v>
      </c>
      <c r="CK65">
        <v>38</v>
      </c>
      <c r="CL65">
        <v>34</v>
      </c>
      <c r="CM65">
        <v>37</v>
      </c>
      <c r="CN65">
        <v>34</v>
      </c>
      <c r="CO65">
        <v>34</v>
      </c>
      <c r="CP65">
        <v>34</v>
      </c>
      <c r="CQ65">
        <v>34</v>
      </c>
      <c r="CR65">
        <v>89</v>
      </c>
    </row>
    <row r="66" spans="1:96">
      <c r="A66">
        <v>65</v>
      </c>
      <c r="B66" t="s">
        <v>440</v>
      </c>
      <c r="C66" t="s">
        <v>413</v>
      </c>
      <c r="D66" t="s">
        <v>192</v>
      </c>
      <c r="E66" t="s">
        <v>267</v>
      </c>
      <c r="F66">
        <v>87</v>
      </c>
      <c r="G66">
        <v>30</v>
      </c>
      <c r="H66" t="s">
        <v>441</v>
      </c>
      <c r="I66" t="s">
        <v>440</v>
      </c>
      <c r="J66">
        <v>87</v>
      </c>
      <c r="K66">
        <v>90</v>
      </c>
      <c r="L66">
        <v>80000000</v>
      </c>
      <c r="M66" t="s">
        <v>192</v>
      </c>
      <c r="N66" t="s">
        <v>192</v>
      </c>
      <c r="O66" t="s">
        <v>319</v>
      </c>
      <c r="P66" t="s">
        <v>442</v>
      </c>
      <c r="Q66">
        <v>26</v>
      </c>
      <c r="R66">
        <v>191</v>
      </c>
      <c r="S66">
        <v>89</v>
      </c>
      <c r="T66">
        <v>1496</v>
      </c>
      <c r="U66">
        <v>477</v>
      </c>
      <c r="V66" t="s">
        <v>267</v>
      </c>
      <c r="W66">
        <v>90000</v>
      </c>
      <c r="X66">
        <v>142000000</v>
      </c>
      <c r="Y66" t="s">
        <v>192</v>
      </c>
      <c r="Z66">
        <v>2026</v>
      </c>
      <c r="AA66">
        <v>16</v>
      </c>
      <c r="AB66">
        <v>2021</v>
      </c>
      <c r="AC66" t="s">
        <v>103</v>
      </c>
      <c r="AD66" t="s">
        <v>104</v>
      </c>
      <c r="AE66">
        <v>4</v>
      </c>
      <c r="AF66">
        <v>1</v>
      </c>
      <c r="AG66">
        <v>2</v>
      </c>
      <c r="AH66" t="s">
        <v>319</v>
      </c>
      <c r="AI66" t="s">
        <v>321</v>
      </c>
      <c r="AJ66" t="s">
        <v>114</v>
      </c>
      <c r="AK66">
        <v>16</v>
      </c>
      <c r="AL66" t="s">
        <v>116</v>
      </c>
      <c r="AM66" t="s">
        <v>116</v>
      </c>
      <c r="AN66">
        <v>85</v>
      </c>
      <c r="AO66">
        <v>82</v>
      </c>
      <c r="AP66">
        <v>85</v>
      </c>
      <c r="AQ66">
        <v>89</v>
      </c>
      <c r="AR66">
        <v>51</v>
      </c>
      <c r="AS66">
        <v>85</v>
      </c>
      <c r="AT66">
        <v>18</v>
      </c>
      <c r="AU66">
        <v>15</v>
      </c>
      <c r="AV66">
        <v>17</v>
      </c>
      <c r="AW66">
        <v>57</v>
      </c>
      <c r="AX66">
        <v>16</v>
      </c>
      <c r="AY66">
        <v>31</v>
      </c>
      <c r="AZ66">
        <v>38</v>
      </c>
      <c r="BA66">
        <v>16</v>
      </c>
      <c r="BB66">
        <v>53</v>
      </c>
      <c r="BC66">
        <v>40</v>
      </c>
      <c r="BD66">
        <v>50</v>
      </c>
      <c r="BE66">
        <v>53</v>
      </c>
      <c r="BF66">
        <v>41</v>
      </c>
      <c r="BG66">
        <v>85</v>
      </c>
      <c r="BH66">
        <v>56</v>
      </c>
      <c r="BI66">
        <v>64</v>
      </c>
      <c r="BJ66">
        <v>74</v>
      </c>
      <c r="BK66">
        <v>39</v>
      </c>
      <c r="BL66">
        <v>78</v>
      </c>
      <c r="BM66">
        <v>20</v>
      </c>
      <c r="BN66">
        <v>35</v>
      </c>
      <c r="BO66">
        <v>25</v>
      </c>
      <c r="BP66">
        <v>15</v>
      </c>
      <c r="BQ66">
        <v>61</v>
      </c>
      <c r="BR66">
        <v>15</v>
      </c>
      <c r="BS66">
        <v>66</v>
      </c>
      <c r="BT66">
        <v>23</v>
      </c>
      <c r="BU66">
        <v>16</v>
      </c>
      <c r="BV66">
        <v>19</v>
      </c>
      <c r="BW66">
        <v>85</v>
      </c>
      <c r="BX66">
        <v>82</v>
      </c>
      <c r="BY66">
        <v>85</v>
      </c>
      <c r="BZ66">
        <v>85</v>
      </c>
      <c r="CA66">
        <v>89</v>
      </c>
      <c r="CB66">
        <v>40</v>
      </c>
      <c r="CC66">
        <v>38</v>
      </c>
      <c r="CD66">
        <v>41</v>
      </c>
      <c r="CE66">
        <v>41</v>
      </c>
      <c r="CF66">
        <v>41</v>
      </c>
      <c r="CG66">
        <v>38</v>
      </c>
      <c r="CH66">
        <v>46</v>
      </c>
      <c r="CI66">
        <v>44</v>
      </c>
      <c r="CJ66">
        <v>47</v>
      </c>
      <c r="CK66">
        <v>44</v>
      </c>
      <c r="CL66">
        <v>38</v>
      </c>
      <c r="CM66">
        <v>43</v>
      </c>
      <c r="CN66">
        <v>38</v>
      </c>
      <c r="CO66">
        <v>36</v>
      </c>
      <c r="CP66">
        <v>37</v>
      </c>
      <c r="CQ66">
        <v>36</v>
      </c>
      <c r="CR66">
        <v>87</v>
      </c>
    </row>
    <row r="67" spans="1:96">
      <c r="A67">
        <v>66</v>
      </c>
      <c r="B67" t="s">
        <v>443</v>
      </c>
      <c r="C67" t="s">
        <v>413</v>
      </c>
      <c r="D67" t="s">
        <v>192</v>
      </c>
      <c r="E67" t="s">
        <v>405</v>
      </c>
      <c r="F67">
        <v>86</v>
      </c>
      <c r="G67">
        <v>30</v>
      </c>
      <c r="H67" t="s">
        <v>444</v>
      </c>
      <c r="I67" t="s">
        <v>443</v>
      </c>
      <c r="J67">
        <v>86</v>
      </c>
      <c r="K67">
        <v>86</v>
      </c>
      <c r="L67">
        <v>36000000</v>
      </c>
      <c r="M67" t="s">
        <v>192</v>
      </c>
      <c r="N67" t="s">
        <v>192</v>
      </c>
      <c r="O67" t="s">
        <v>127</v>
      </c>
      <c r="P67" t="s">
        <v>445</v>
      </c>
      <c r="Q67">
        <v>31</v>
      </c>
      <c r="R67">
        <v>189</v>
      </c>
      <c r="S67">
        <v>84</v>
      </c>
      <c r="T67">
        <v>1252</v>
      </c>
      <c r="U67">
        <v>463</v>
      </c>
      <c r="V67" t="s">
        <v>446</v>
      </c>
      <c r="W67">
        <v>43000</v>
      </c>
      <c r="X67">
        <v>61200000</v>
      </c>
      <c r="Y67" t="s">
        <v>192</v>
      </c>
      <c r="Z67">
        <v>2024</v>
      </c>
      <c r="AA67">
        <v>1</v>
      </c>
      <c r="AB67">
        <v>2019</v>
      </c>
      <c r="AC67" t="s">
        <v>103</v>
      </c>
      <c r="AD67" t="s">
        <v>104</v>
      </c>
      <c r="AE67">
        <v>4</v>
      </c>
      <c r="AF67">
        <v>1</v>
      </c>
      <c r="AG67">
        <v>3</v>
      </c>
      <c r="AH67" t="s">
        <v>127</v>
      </c>
      <c r="AI67" t="s">
        <v>129</v>
      </c>
      <c r="AJ67" t="s">
        <v>114</v>
      </c>
      <c r="AK67">
        <v>22</v>
      </c>
      <c r="AL67" t="s">
        <v>116</v>
      </c>
      <c r="AM67" t="s">
        <v>116</v>
      </c>
      <c r="AN67">
        <v>84</v>
      </c>
      <c r="AO67">
        <v>82</v>
      </c>
      <c r="AP67">
        <v>79</v>
      </c>
      <c r="AQ67">
        <v>87</v>
      </c>
      <c r="AR67">
        <v>46</v>
      </c>
      <c r="AS67">
        <v>85</v>
      </c>
      <c r="AT67">
        <v>13</v>
      </c>
      <c r="AU67">
        <v>13</v>
      </c>
      <c r="AV67">
        <v>11</v>
      </c>
      <c r="AW67">
        <v>25</v>
      </c>
      <c r="AX67">
        <v>12</v>
      </c>
      <c r="AY67">
        <v>10</v>
      </c>
      <c r="AZ67">
        <v>14</v>
      </c>
      <c r="BA67">
        <v>12</v>
      </c>
      <c r="BB67">
        <v>12</v>
      </c>
      <c r="BC67">
        <v>24</v>
      </c>
      <c r="BD67">
        <v>43</v>
      </c>
      <c r="BE67">
        <v>50</v>
      </c>
      <c r="BF67">
        <v>42</v>
      </c>
      <c r="BG67">
        <v>83</v>
      </c>
      <c r="BH67">
        <v>37</v>
      </c>
      <c r="BI67">
        <v>59</v>
      </c>
      <c r="BJ67">
        <v>76</v>
      </c>
      <c r="BK67">
        <v>45</v>
      </c>
      <c r="BL67">
        <v>75</v>
      </c>
      <c r="BM67">
        <v>13</v>
      </c>
      <c r="BN67">
        <v>30</v>
      </c>
      <c r="BO67">
        <v>22</v>
      </c>
      <c r="BP67">
        <v>12</v>
      </c>
      <c r="BQ67">
        <v>46</v>
      </c>
      <c r="BR67">
        <v>17</v>
      </c>
      <c r="BS67">
        <v>64</v>
      </c>
      <c r="BT67">
        <v>15</v>
      </c>
      <c r="BU67">
        <v>14</v>
      </c>
      <c r="BV67">
        <v>10</v>
      </c>
      <c r="BW67">
        <v>84</v>
      </c>
      <c r="BX67">
        <v>82</v>
      </c>
      <c r="BY67">
        <v>79</v>
      </c>
      <c r="BZ67">
        <v>85</v>
      </c>
      <c r="CA67">
        <v>87</v>
      </c>
      <c r="CB67">
        <v>33</v>
      </c>
      <c r="CC67">
        <v>27</v>
      </c>
      <c r="CD67">
        <v>30</v>
      </c>
      <c r="CE67">
        <v>30</v>
      </c>
      <c r="CF67">
        <v>30</v>
      </c>
      <c r="CG67">
        <v>27</v>
      </c>
      <c r="CH67">
        <v>32</v>
      </c>
      <c r="CI67">
        <v>31</v>
      </c>
      <c r="CJ67">
        <v>31</v>
      </c>
      <c r="CK67">
        <v>31</v>
      </c>
      <c r="CL67">
        <v>31</v>
      </c>
      <c r="CM67">
        <v>32</v>
      </c>
      <c r="CN67">
        <v>31</v>
      </c>
      <c r="CO67">
        <v>31</v>
      </c>
      <c r="CP67">
        <v>32</v>
      </c>
      <c r="CQ67">
        <v>31</v>
      </c>
      <c r="CR67">
        <v>86</v>
      </c>
    </row>
    <row r="68" spans="1:96">
      <c r="A68">
        <v>67</v>
      </c>
      <c r="B68" t="s">
        <v>447</v>
      </c>
      <c r="C68" t="s">
        <v>413</v>
      </c>
      <c r="D68" t="s">
        <v>192</v>
      </c>
      <c r="E68" t="s">
        <v>405</v>
      </c>
      <c r="F68">
        <v>86</v>
      </c>
      <c r="G68">
        <v>30</v>
      </c>
      <c r="H68" t="s">
        <v>448</v>
      </c>
      <c r="I68" t="s">
        <v>449</v>
      </c>
      <c r="J68">
        <v>86</v>
      </c>
      <c r="K68">
        <v>86</v>
      </c>
      <c r="L68">
        <v>33500000</v>
      </c>
      <c r="M68" t="s">
        <v>192</v>
      </c>
      <c r="N68" t="s">
        <v>192</v>
      </c>
      <c r="O68" t="s">
        <v>326</v>
      </c>
      <c r="P68" t="s">
        <v>450</v>
      </c>
      <c r="Q68">
        <v>32</v>
      </c>
      <c r="R68">
        <v>195</v>
      </c>
      <c r="S68">
        <v>90</v>
      </c>
      <c r="T68">
        <v>1314</v>
      </c>
      <c r="U68">
        <v>462</v>
      </c>
      <c r="V68" t="s">
        <v>405</v>
      </c>
      <c r="W68">
        <v>125000</v>
      </c>
      <c r="X68">
        <v>57000000</v>
      </c>
      <c r="Y68" t="s">
        <v>236</v>
      </c>
      <c r="Z68">
        <v>2024</v>
      </c>
      <c r="AA68">
        <v>1</v>
      </c>
      <c r="AB68">
        <v>2017</v>
      </c>
      <c r="AC68" t="s">
        <v>103</v>
      </c>
      <c r="AD68" t="s">
        <v>104</v>
      </c>
      <c r="AE68">
        <v>3</v>
      </c>
      <c r="AF68">
        <v>1</v>
      </c>
      <c r="AG68">
        <v>3</v>
      </c>
      <c r="AH68" t="s">
        <v>326</v>
      </c>
      <c r="AI68" t="s">
        <v>328</v>
      </c>
      <c r="AJ68" t="s">
        <v>192</v>
      </c>
      <c r="AK68">
        <v>1</v>
      </c>
      <c r="AL68" t="s">
        <v>116</v>
      </c>
      <c r="AM68" t="s">
        <v>116</v>
      </c>
      <c r="AN68">
        <v>86</v>
      </c>
      <c r="AO68">
        <v>81</v>
      </c>
      <c r="AP68">
        <v>73</v>
      </c>
      <c r="AQ68">
        <v>87</v>
      </c>
      <c r="AR68">
        <v>49</v>
      </c>
      <c r="AS68">
        <v>86</v>
      </c>
      <c r="AT68">
        <v>12</v>
      </c>
      <c r="AU68">
        <v>12</v>
      </c>
      <c r="AV68">
        <v>16</v>
      </c>
      <c r="AW68">
        <v>32</v>
      </c>
      <c r="AX68">
        <v>14</v>
      </c>
      <c r="AY68">
        <v>11</v>
      </c>
      <c r="AZ68">
        <v>16</v>
      </c>
      <c r="BA68">
        <v>14</v>
      </c>
      <c r="BB68">
        <v>36</v>
      </c>
      <c r="BC68">
        <v>22</v>
      </c>
      <c r="BD68">
        <v>51</v>
      </c>
      <c r="BE68">
        <v>47</v>
      </c>
      <c r="BF68">
        <v>55</v>
      </c>
      <c r="BG68">
        <v>82</v>
      </c>
      <c r="BH68">
        <v>51</v>
      </c>
      <c r="BI68">
        <v>55</v>
      </c>
      <c r="BJ68">
        <v>71</v>
      </c>
      <c r="BK68">
        <v>45</v>
      </c>
      <c r="BL68">
        <v>65</v>
      </c>
      <c r="BM68">
        <v>14</v>
      </c>
      <c r="BN68">
        <v>40</v>
      </c>
      <c r="BO68">
        <v>15</v>
      </c>
      <c r="BP68">
        <v>14</v>
      </c>
      <c r="BQ68">
        <v>48</v>
      </c>
      <c r="BR68">
        <v>18</v>
      </c>
      <c r="BS68">
        <v>65</v>
      </c>
      <c r="BT68">
        <v>20</v>
      </c>
      <c r="BU68">
        <v>13</v>
      </c>
      <c r="BV68">
        <v>12</v>
      </c>
      <c r="BW68">
        <v>86</v>
      </c>
      <c r="BX68">
        <v>81</v>
      </c>
      <c r="BY68">
        <v>73</v>
      </c>
      <c r="BZ68">
        <v>86</v>
      </c>
      <c r="CA68">
        <v>87</v>
      </c>
      <c r="CB68">
        <v>34</v>
      </c>
      <c r="CC68">
        <v>28</v>
      </c>
      <c r="CD68">
        <v>31</v>
      </c>
      <c r="CE68">
        <v>31</v>
      </c>
      <c r="CF68">
        <v>31</v>
      </c>
      <c r="CG68">
        <v>28</v>
      </c>
      <c r="CH68">
        <v>35</v>
      </c>
      <c r="CI68">
        <v>34</v>
      </c>
      <c r="CJ68">
        <v>36</v>
      </c>
      <c r="CK68">
        <v>34</v>
      </c>
      <c r="CL68">
        <v>31</v>
      </c>
      <c r="CM68">
        <v>34</v>
      </c>
      <c r="CN68">
        <v>31</v>
      </c>
      <c r="CO68">
        <v>31</v>
      </c>
      <c r="CP68">
        <v>32</v>
      </c>
      <c r="CQ68">
        <v>31</v>
      </c>
      <c r="CR68">
        <v>86</v>
      </c>
    </row>
    <row r="69" spans="1:96">
      <c r="A69">
        <v>68</v>
      </c>
      <c r="B69" t="s">
        <v>451</v>
      </c>
      <c r="C69" t="s">
        <v>413</v>
      </c>
      <c r="D69" t="s">
        <v>192</v>
      </c>
      <c r="E69" t="s">
        <v>452</v>
      </c>
      <c r="F69">
        <v>85</v>
      </c>
      <c r="G69">
        <v>30</v>
      </c>
      <c r="H69" t="s">
        <v>453</v>
      </c>
      <c r="I69" t="s">
        <v>454</v>
      </c>
      <c r="J69">
        <v>84</v>
      </c>
      <c r="K69">
        <v>84</v>
      </c>
      <c r="L69">
        <v>29000000</v>
      </c>
      <c r="M69" t="s">
        <v>192</v>
      </c>
      <c r="N69" t="s">
        <v>192</v>
      </c>
      <c r="O69" t="s">
        <v>287</v>
      </c>
      <c r="P69" t="s">
        <v>455</v>
      </c>
      <c r="Q69">
        <v>29</v>
      </c>
      <c r="R69">
        <v>195</v>
      </c>
      <c r="S69">
        <v>88</v>
      </c>
      <c r="T69">
        <v>1457</v>
      </c>
      <c r="U69">
        <v>476</v>
      </c>
      <c r="V69" t="s">
        <v>248</v>
      </c>
      <c r="W69">
        <v>95000</v>
      </c>
      <c r="X69">
        <v>55100000</v>
      </c>
      <c r="Y69" t="s">
        <v>192</v>
      </c>
      <c r="Z69">
        <v>2027</v>
      </c>
      <c r="AA69">
        <v>1</v>
      </c>
      <c r="AB69">
        <v>2020</v>
      </c>
      <c r="AC69" t="s">
        <v>103</v>
      </c>
      <c r="AD69" t="s">
        <v>104</v>
      </c>
      <c r="AE69">
        <v>4</v>
      </c>
      <c r="AF69">
        <v>1</v>
      </c>
      <c r="AG69">
        <v>3</v>
      </c>
      <c r="AH69" t="s">
        <v>287</v>
      </c>
      <c r="AI69" t="s">
        <v>289</v>
      </c>
      <c r="AJ69" t="s">
        <v>192</v>
      </c>
      <c r="AK69">
        <v>23</v>
      </c>
      <c r="AL69" t="s">
        <v>116</v>
      </c>
      <c r="AM69" t="s">
        <v>116</v>
      </c>
      <c r="AN69">
        <v>85</v>
      </c>
      <c r="AO69">
        <v>83</v>
      </c>
      <c r="AP69">
        <v>82</v>
      </c>
      <c r="AQ69">
        <v>85</v>
      </c>
      <c r="AR69">
        <v>58</v>
      </c>
      <c r="AS69">
        <v>83</v>
      </c>
      <c r="AT69">
        <v>22</v>
      </c>
      <c r="AU69">
        <v>16</v>
      </c>
      <c r="AV69">
        <v>26</v>
      </c>
      <c r="AW69">
        <v>50</v>
      </c>
      <c r="AX69">
        <v>13</v>
      </c>
      <c r="AY69">
        <v>13</v>
      </c>
      <c r="AZ69">
        <v>22</v>
      </c>
      <c r="BA69">
        <v>20</v>
      </c>
      <c r="BB69">
        <v>59</v>
      </c>
      <c r="BC69">
        <v>35</v>
      </c>
      <c r="BD69">
        <v>59</v>
      </c>
      <c r="BE69">
        <v>57</v>
      </c>
      <c r="BF69">
        <v>49</v>
      </c>
      <c r="BG69">
        <v>80</v>
      </c>
      <c r="BH69">
        <v>49</v>
      </c>
      <c r="BI69">
        <v>62</v>
      </c>
      <c r="BJ69">
        <v>60</v>
      </c>
      <c r="BK69">
        <v>40</v>
      </c>
      <c r="BL69">
        <v>70</v>
      </c>
      <c r="BM69">
        <v>16</v>
      </c>
      <c r="BN69">
        <v>37</v>
      </c>
      <c r="BO69">
        <v>13</v>
      </c>
      <c r="BP69">
        <v>12</v>
      </c>
      <c r="BQ69">
        <v>66</v>
      </c>
      <c r="BR69">
        <v>42</v>
      </c>
      <c r="BS69">
        <v>60</v>
      </c>
      <c r="BT69">
        <v>11</v>
      </c>
      <c r="BU69">
        <v>20</v>
      </c>
      <c r="BV69">
        <v>20</v>
      </c>
      <c r="BW69">
        <v>85</v>
      </c>
      <c r="BX69">
        <v>83</v>
      </c>
      <c r="BY69">
        <v>82</v>
      </c>
      <c r="BZ69">
        <v>83</v>
      </c>
      <c r="CA69">
        <v>85</v>
      </c>
      <c r="CB69">
        <v>39</v>
      </c>
      <c r="CC69">
        <v>35</v>
      </c>
      <c r="CD69">
        <v>37</v>
      </c>
      <c r="CE69">
        <v>37</v>
      </c>
      <c r="CF69">
        <v>37</v>
      </c>
      <c r="CG69">
        <v>35</v>
      </c>
      <c r="CH69">
        <v>44</v>
      </c>
      <c r="CI69">
        <v>42</v>
      </c>
      <c r="CJ69">
        <v>46</v>
      </c>
      <c r="CK69">
        <v>42</v>
      </c>
      <c r="CL69">
        <v>36</v>
      </c>
      <c r="CM69">
        <v>41</v>
      </c>
      <c r="CN69">
        <v>36</v>
      </c>
      <c r="CO69">
        <v>36</v>
      </c>
      <c r="CP69">
        <v>35</v>
      </c>
      <c r="CQ69">
        <v>36</v>
      </c>
      <c r="CR69">
        <v>84</v>
      </c>
    </row>
    <row r="70" spans="1:96">
      <c r="A70">
        <v>69</v>
      </c>
      <c r="B70" t="s">
        <v>456</v>
      </c>
      <c r="C70" t="s">
        <v>413</v>
      </c>
      <c r="D70" t="s">
        <v>192</v>
      </c>
      <c r="E70" t="s">
        <v>426</v>
      </c>
      <c r="F70">
        <v>85</v>
      </c>
      <c r="G70">
        <v>30</v>
      </c>
      <c r="H70" t="s">
        <v>457</v>
      </c>
      <c r="I70" t="s">
        <v>458</v>
      </c>
      <c r="J70">
        <v>85</v>
      </c>
      <c r="K70">
        <v>85</v>
      </c>
      <c r="L70">
        <v>17500000</v>
      </c>
      <c r="M70" t="s">
        <v>192</v>
      </c>
      <c r="N70" t="s">
        <v>192</v>
      </c>
      <c r="O70" t="s">
        <v>333</v>
      </c>
      <c r="P70" t="s">
        <v>459</v>
      </c>
      <c r="Q70">
        <v>33</v>
      </c>
      <c r="R70">
        <v>183</v>
      </c>
      <c r="S70">
        <v>79</v>
      </c>
      <c r="T70">
        <v>1356</v>
      </c>
      <c r="U70">
        <v>467</v>
      </c>
      <c r="V70" t="s">
        <v>460</v>
      </c>
      <c r="W70">
        <v>40000</v>
      </c>
      <c r="X70">
        <v>29800000</v>
      </c>
      <c r="Y70" t="s">
        <v>192</v>
      </c>
      <c r="Z70">
        <v>2023</v>
      </c>
      <c r="AA70">
        <v>1</v>
      </c>
      <c r="AB70">
        <v>2014</v>
      </c>
      <c r="AC70" t="s">
        <v>103</v>
      </c>
      <c r="AD70" t="s">
        <v>104</v>
      </c>
      <c r="AE70">
        <v>4</v>
      </c>
      <c r="AF70">
        <v>1</v>
      </c>
      <c r="AG70">
        <v>3</v>
      </c>
      <c r="AH70" t="s">
        <v>103</v>
      </c>
      <c r="AI70" t="s">
        <v>336</v>
      </c>
      <c r="AJ70" t="s">
        <v>103</v>
      </c>
      <c r="AK70" t="s">
        <v>103</v>
      </c>
      <c r="AL70" t="s">
        <v>116</v>
      </c>
      <c r="AM70" t="s">
        <v>116</v>
      </c>
      <c r="AN70">
        <v>78</v>
      </c>
      <c r="AO70">
        <v>81</v>
      </c>
      <c r="AP70">
        <v>82</v>
      </c>
      <c r="AQ70">
        <v>90</v>
      </c>
      <c r="AR70">
        <v>50</v>
      </c>
      <c r="AS70">
        <v>86</v>
      </c>
      <c r="AT70">
        <v>13</v>
      </c>
      <c r="AU70">
        <v>13</v>
      </c>
      <c r="AV70">
        <v>10</v>
      </c>
      <c r="AW70">
        <v>40</v>
      </c>
      <c r="AX70">
        <v>8</v>
      </c>
      <c r="AY70">
        <v>15</v>
      </c>
      <c r="AZ70">
        <v>12</v>
      </c>
      <c r="BA70">
        <v>13</v>
      </c>
      <c r="BB70">
        <v>31</v>
      </c>
      <c r="BC70">
        <v>25</v>
      </c>
      <c r="BD70">
        <v>48</v>
      </c>
      <c r="BE70">
        <v>54</v>
      </c>
      <c r="BF70">
        <v>55</v>
      </c>
      <c r="BG70">
        <v>82</v>
      </c>
      <c r="BH70">
        <v>58</v>
      </c>
      <c r="BI70">
        <v>62</v>
      </c>
      <c r="BJ70">
        <v>73</v>
      </c>
      <c r="BK70">
        <v>45</v>
      </c>
      <c r="BL70">
        <v>68</v>
      </c>
      <c r="BM70">
        <v>12</v>
      </c>
      <c r="BN70">
        <v>38</v>
      </c>
      <c r="BO70">
        <v>21</v>
      </c>
      <c r="BP70">
        <v>15</v>
      </c>
      <c r="BQ70">
        <v>64</v>
      </c>
      <c r="BR70">
        <v>24</v>
      </c>
      <c r="BS70">
        <v>57</v>
      </c>
      <c r="BT70">
        <v>9</v>
      </c>
      <c r="BU70">
        <v>19</v>
      </c>
      <c r="BV70">
        <v>12</v>
      </c>
      <c r="BW70">
        <v>78</v>
      </c>
      <c r="BX70">
        <v>81</v>
      </c>
      <c r="BY70">
        <v>82</v>
      </c>
      <c r="BZ70">
        <v>86</v>
      </c>
      <c r="CA70">
        <v>90</v>
      </c>
      <c r="CB70">
        <v>35</v>
      </c>
      <c r="CC70">
        <v>32</v>
      </c>
      <c r="CD70">
        <v>34</v>
      </c>
      <c r="CE70">
        <v>34</v>
      </c>
      <c r="CF70">
        <v>34</v>
      </c>
      <c r="CG70">
        <v>32</v>
      </c>
      <c r="CH70">
        <v>39</v>
      </c>
      <c r="CI70">
        <v>37</v>
      </c>
      <c r="CJ70">
        <v>40</v>
      </c>
      <c r="CK70">
        <v>37</v>
      </c>
      <c r="CL70">
        <v>33</v>
      </c>
      <c r="CM70">
        <v>36</v>
      </c>
      <c r="CN70">
        <v>33</v>
      </c>
      <c r="CO70">
        <v>32</v>
      </c>
      <c r="CP70">
        <v>32</v>
      </c>
      <c r="CQ70">
        <v>32</v>
      </c>
      <c r="CR70">
        <v>85</v>
      </c>
    </row>
    <row r="71" spans="1:96">
      <c r="A71">
        <v>70</v>
      </c>
      <c r="B71" t="s">
        <v>461</v>
      </c>
      <c r="C71" t="s">
        <v>413</v>
      </c>
      <c r="D71" t="s">
        <v>192</v>
      </c>
      <c r="E71" t="s">
        <v>275</v>
      </c>
      <c r="F71">
        <v>85</v>
      </c>
      <c r="G71">
        <v>30</v>
      </c>
      <c r="H71" t="s">
        <v>462</v>
      </c>
      <c r="I71" t="s">
        <v>463</v>
      </c>
      <c r="J71">
        <v>87</v>
      </c>
      <c r="K71">
        <v>87</v>
      </c>
      <c r="L71">
        <v>9000000</v>
      </c>
      <c r="M71" t="s">
        <v>192</v>
      </c>
      <c r="N71" t="s">
        <v>192</v>
      </c>
      <c r="O71" t="s">
        <v>319</v>
      </c>
      <c r="P71" t="s">
        <v>464</v>
      </c>
      <c r="Q71">
        <v>35</v>
      </c>
      <c r="R71">
        <v>188</v>
      </c>
      <c r="S71">
        <v>82</v>
      </c>
      <c r="T71">
        <v>1399</v>
      </c>
      <c r="U71">
        <v>478</v>
      </c>
      <c r="V71" t="s">
        <v>280</v>
      </c>
      <c r="W71">
        <v>80000</v>
      </c>
      <c r="X71">
        <v>17100000</v>
      </c>
      <c r="Y71" t="s">
        <v>192</v>
      </c>
      <c r="Z71">
        <v>2024</v>
      </c>
      <c r="AA71">
        <v>1</v>
      </c>
      <c r="AB71">
        <v>2012</v>
      </c>
      <c r="AC71" t="s">
        <v>103</v>
      </c>
      <c r="AD71" t="s">
        <v>137</v>
      </c>
      <c r="AE71">
        <v>1</v>
      </c>
      <c r="AF71">
        <v>1</v>
      </c>
      <c r="AG71">
        <v>4</v>
      </c>
      <c r="AH71" t="s">
        <v>319</v>
      </c>
      <c r="AI71" t="s">
        <v>321</v>
      </c>
      <c r="AJ71" t="s">
        <v>192</v>
      </c>
      <c r="AK71">
        <v>1</v>
      </c>
      <c r="AL71" t="s">
        <v>116</v>
      </c>
      <c r="AM71" t="s">
        <v>116</v>
      </c>
      <c r="AN71">
        <v>88</v>
      </c>
      <c r="AO71">
        <v>83</v>
      </c>
      <c r="AP71">
        <v>74</v>
      </c>
      <c r="AQ71">
        <v>88</v>
      </c>
      <c r="AR71">
        <v>61</v>
      </c>
      <c r="AS71">
        <v>84</v>
      </c>
      <c r="AT71">
        <v>13</v>
      </c>
      <c r="AU71">
        <v>10</v>
      </c>
      <c r="AV71">
        <v>9</v>
      </c>
      <c r="AW71">
        <v>54</v>
      </c>
      <c r="AX71">
        <v>15</v>
      </c>
      <c r="AY71">
        <v>12</v>
      </c>
      <c r="AZ71">
        <v>12</v>
      </c>
      <c r="BA71">
        <v>10</v>
      </c>
      <c r="BB71">
        <v>55</v>
      </c>
      <c r="BC71">
        <v>29</v>
      </c>
      <c r="BD71">
        <v>61</v>
      </c>
      <c r="BE71">
        <v>62</v>
      </c>
      <c r="BF71">
        <v>54</v>
      </c>
      <c r="BG71">
        <v>84</v>
      </c>
      <c r="BH71">
        <v>56</v>
      </c>
      <c r="BI71">
        <v>56</v>
      </c>
      <c r="BJ71">
        <v>74</v>
      </c>
      <c r="BK71">
        <v>41</v>
      </c>
      <c r="BL71">
        <v>43</v>
      </c>
      <c r="BM71">
        <v>14</v>
      </c>
      <c r="BN71">
        <v>31</v>
      </c>
      <c r="BO71">
        <v>25</v>
      </c>
      <c r="BP71">
        <v>9</v>
      </c>
      <c r="BQ71">
        <v>59</v>
      </c>
      <c r="BR71">
        <v>40</v>
      </c>
      <c r="BS71">
        <v>59</v>
      </c>
      <c r="BT71">
        <v>24</v>
      </c>
      <c r="BU71">
        <v>12</v>
      </c>
      <c r="BV71">
        <v>18</v>
      </c>
      <c r="BW71">
        <v>88</v>
      </c>
      <c r="BX71">
        <v>83</v>
      </c>
      <c r="BY71">
        <v>74</v>
      </c>
      <c r="BZ71">
        <v>84</v>
      </c>
      <c r="CA71">
        <v>88</v>
      </c>
      <c r="CB71">
        <v>34</v>
      </c>
      <c r="CC71">
        <v>33</v>
      </c>
      <c r="CD71">
        <v>35</v>
      </c>
      <c r="CE71">
        <v>35</v>
      </c>
      <c r="CF71">
        <v>35</v>
      </c>
      <c r="CG71">
        <v>33</v>
      </c>
      <c r="CH71">
        <v>42</v>
      </c>
      <c r="CI71">
        <v>40</v>
      </c>
      <c r="CJ71">
        <v>44</v>
      </c>
      <c r="CK71">
        <v>40</v>
      </c>
      <c r="CL71">
        <v>37</v>
      </c>
      <c r="CM71">
        <v>41</v>
      </c>
      <c r="CN71">
        <v>37</v>
      </c>
      <c r="CO71">
        <v>36</v>
      </c>
      <c r="CP71">
        <v>32</v>
      </c>
      <c r="CQ71">
        <v>36</v>
      </c>
      <c r="CR71">
        <v>87</v>
      </c>
    </row>
    <row r="72" spans="1:96">
      <c r="A72">
        <v>71</v>
      </c>
      <c r="B72" t="s">
        <v>465</v>
      </c>
      <c r="C72" t="s">
        <v>413</v>
      </c>
      <c r="D72" t="s">
        <v>192</v>
      </c>
      <c r="E72" t="s">
        <v>212</v>
      </c>
      <c r="F72">
        <v>85</v>
      </c>
      <c r="G72">
        <v>30</v>
      </c>
      <c r="H72" t="s">
        <v>466</v>
      </c>
      <c r="I72" t="s">
        <v>467</v>
      </c>
      <c r="J72">
        <v>83</v>
      </c>
      <c r="K72">
        <v>88</v>
      </c>
      <c r="L72">
        <v>44000000</v>
      </c>
      <c r="M72" t="s">
        <v>192</v>
      </c>
      <c r="N72" t="s">
        <v>192</v>
      </c>
      <c r="O72" t="s">
        <v>333</v>
      </c>
      <c r="P72" t="s">
        <v>468</v>
      </c>
      <c r="Q72">
        <v>24</v>
      </c>
      <c r="R72">
        <v>195</v>
      </c>
      <c r="S72">
        <v>88</v>
      </c>
      <c r="T72">
        <v>1251</v>
      </c>
      <c r="U72">
        <v>448</v>
      </c>
      <c r="V72" t="s">
        <v>169</v>
      </c>
      <c r="W72">
        <v>40000</v>
      </c>
      <c r="X72">
        <v>78100000</v>
      </c>
      <c r="Y72" t="s">
        <v>192</v>
      </c>
      <c r="Z72">
        <v>2026</v>
      </c>
      <c r="AA72">
        <v>1</v>
      </c>
      <c r="AB72">
        <v>2021</v>
      </c>
      <c r="AC72" t="s">
        <v>103</v>
      </c>
      <c r="AD72" t="s">
        <v>104</v>
      </c>
      <c r="AE72">
        <v>3</v>
      </c>
      <c r="AF72">
        <v>1</v>
      </c>
      <c r="AG72">
        <v>1</v>
      </c>
      <c r="AH72" t="s">
        <v>103</v>
      </c>
      <c r="AI72" t="s">
        <v>336</v>
      </c>
      <c r="AJ72" t="s">
        <v>103</v>
      </c>
      <c r="AK72" t="s">
        <v>103</v>
      </c>
      <c r="AL72" t="s">
        <v>116</v>
      </c>
      <c r="AM72" t="s">
        <v>116</v>
      </c>
      <c r="AN72">
        <v>84</v>
      </c>
      <c r="AO72">
        <v>80</v>
      </c>
      <c r="AP72">
        <v>74</v>
      </c>
      <c r="AQ72">
        <v>88</v>
      </c>
      <c r="AR72">
        <v>43</v>
      </c>
      <c r="AS72">
        <v>79</v>
      </c>
      <c r="AT72">
        <v>13</v>
      </c>
      <c r="AU72">
        <v>10</v>
      </c>
      <c r="AV72">
        <v>13</v>
      </c>
      <c r="AW72">
        <v>39</v>
      </c>
      <c r="AX72">
        <v>10</v>
      </c>
      <c r="AY72">
        <v>24</v>
      </c>
      <c r="AZ72">
        <v>13</v>
      </c>
      <c r="BA72">
        <v>12</v>
      </c>
      <c r="BB72">
        <v>33</v>
      </c>
      <c r="BC72">
        <v>34</v>
      </c>
      <c r="BD72">
        <v>38</v>
      </c>
      <c r="BE72">
        <v>51</v>
      </c>
      <c r="BF72">
        <v>37</v>
      </c>
      <c r="BG72">
        <v>81</v>
      </c>
      <c r="BH72">
        <v>29</v>
      </c>
      <c r="BI72">
        <v>56</v>
      </c>
      <c r="BJ72">
        <v>68</v>
      </c>
      <c r="BK72">
        <v>30</v>
      </c>
      <c r="BL72">
        <v>81</v>
      </c>
      <c r="BM72">
        <v>10</v>
      </c>
      <c r="BN72">
        <v>24</v>
      </c>
      <c r="BO72">
        <v>14</v>
      </c>
      <c r="BP72">
        <v>10</v>
      </c>
      <c r="BQ72">
        <v>59</v>
      </c>
      <c r="BR72">
        <v>12</v>
      </c>
      <c r="BS72">
        <v>66</v>
      </c>
      <c r="BT72">
        <v>15</v>
      </c>
      <c r="BU72">
        <v>15</v>
      </c>
      <c r="BV72">
        <v>15</v>
      </c>
      <c r="BW72">
        <v>84</v>
      </c>
      <c r="BX72">
        <v>80</v>
      </c>
      <c r="BY72">
        <v>74</v>
      </c>
      <c r="BZ72">
        <v>79</v>
      </c>
      <c r="CA72">
        <v>88</v>
      </c>
      <c r="CB72">
        <v>34</v>
      </c>
      <c r="CC72">
        <v>32</v>
      </c>
      <c r="CD72">
        <v>34</v>
      </c>
      <c r="CE72">
        <v>34</v>
      </c>
      <c r="CF72">
        <v>34</v>
      </c>
      <c r="CG72">
        <v>32</v>
      </c>
      <c r="CH72">
        <v>38</v>
      </c>
      <c r="CI72">
        <v>36</v>
      </c>
      <c r="CJ72">
        <v>38</v>
      </c>
      <c r="CK72">
        <v>36</v>
      </c>
      <c r="CL72">
        <v>31</v>
      </c>
      <c r="CM72">
        <v>34</v>
      </c>
      <c r="CN72">
        <v>31</v>
      </c>
      <c r="CO72">
        <v>30</v>
      </c>
      <c r="CP72">
        <v>31</v>
      </c>
      <c r="CQ72">
        <v>30</v>
      </c>
      <c r="CR72">
        <v>84</v>
      </c>
    </row>
    <row r="73" spans="1:96">
      <c r="A73">
        <v>72</v>
      </c>
      <c r="B73" t="s">
        <v>469</v>
      </c>
      <c r="C73" t="s">
        <v>413</v>
      </c>
      <c r="D73" t="s">
        <v>192</v>
      </c>
      <c r="E73" t="s">
        <v>264</v>
      </c>
      <c r="F73">
        <v>83</v>
      </c>
      <c r="G73">
        <v>20</v>
      </c>
      <c r="H73" t="s">
        <v>470</v>
      </c>
      <c r="I73" t="s">
        <v>469</v>
      </c>
      <c r="J73">
        <v>81</v>
      </c>
      <c r="K73">
        <v>81</v>
      </c>
      <c r="L73">
        <v>17000000</v>
      </c>
      <c r="M73" t="s">
        <v>192</v>
      </c>
      <c r="N73" t="s">
        <v>192</v>
      </c>
      <c r="O73" t="s">
        <v>167</v>
      </c>
      <c r="P73" t="s">
        <v>471</v>
      </c>
      <c r="Q73">
        <v>30</v>
      </c>
      <c r="R73">
        <v>199</v>
      </c>
      <c r="S73">
        <v>76</v>
      </c>
      <c r="T73">
        <v>1286</v>
      </c>
      <c r="U73">
        <v>449</v>
      </c>
      <c r="V73" t="s">
        <v>264</v>
      </c>
      <c r="W73">
        <v>75000</v>
      </c>
      <c r="X73">
        <v>32299999</v>
      </c>
      <c r="Y73" t="s">
        <v>192</v>
      </c>
      <c r="Z73">
        <v>2026</v>
      </c>
      <c r="AA73">
        <v>22</v>
      </c>
      <c r="AB73">
        <v>2022</v>
      </c>
      <c r="AC73" t="s">
        <v>103</v>
      </c>
      <c r="AD73" t="s">
        <v>104</v>
      </c>
      <c r="AE73">
        <v>3</v>
      </c>
      <c r="AF73">
        <v>1</v>
      </c>
      <c r="AG73">
        <v>1</v>
      </c>
      <c r="AH73" t="s">
        <v>167</v>
      </c>
      <c r="AI73" t="s">
        <v>170</v>
      </c>
      <c r="AJ73" t="s">
        <v>114</v>
      </c>
      <c r="AK73">
        <v>13</v>
      </c>
      <c r="AL73" t="s">
        <v>116</v>
      </c>
      <c r="AM73" t="s">
        <v>116</v>
      </c>
      <c r="AN73">
        <v>80</v>
      </c>
      <c r="AO73">
        <v>82</v>
      </c>
      <c r="AP73">
        <v>75</v>
      </c>
      <c r="AQ73">
        <v>83</v>
      </c>
      <c r="AR73">
        <v>49</v>
      </c>
      <c r="AS73">
        <v>80</v>
      </c>
      <c r="AT73">
        <v>11</v>
      </c>
      <c r="AU73">
        <v>14</v>
      </c>
      <c r="AV73">
        <v>11</v>
      </c>
      <c r="AW73">
        <v>29</v>
      </c>
      <c r="AX73">
        <v>14</v>
      </c>
      <c r="AY73">
        <v>15</v>
      </c>
      <c r="AZ73">
        <v>13</v>
      </c>
      <c r="BA73">
        <v>12</v>
      </c>
      <c r="BB73">
        <v>52</v>
      </c>
      <c r="BC73">
        <v>24</v>
      </c>
      <c r="BD73">
        <v>50</v>
      </c>
      <c r="BE73">
        <v>47</v>
      </c>
      <c r="BF73">
        <v>36</v>
      </c>
      <c r="BG73">
        <v>76</v>
      </c>
      <c r="BH73">
        <v>42</v>
      </c>
      <c r="BI73">
        <v>56</v>
      </c>
      <c r="BJ73">
        <v>72</v>
      </c>
      <c r="BK73">
        <v>37</v>
      </c>
      <c r="BL73">
        <v>75</v>
      </c>
      <c r="BM73">
        <v>15</v>
      </c>
      <c r="BN73">
        <v>36</v>
      </c>
      <c r="BO73">
        <v>21</v>
      </c>
      <c r="BP73">
        <v>13</v>
      </c>
      <c r="BQ73">
        <v>50</v>
      </c>
      <c r="BR73">
        <v>22</v>
      </c>
      <c r="BS73">
        <v>63</v>
      </c>
      <c r="BT73">
        <v>14</v>
      </c>
      <c r="BU73">
        <v>15</v>
      </c>
      <c r="BV73">
        <v>14</v>
      </c>
      <c r="BW73">
        <v>80</v>
      </c>
      <c r="BX73">
        <v>82</v>
      </c>
      <c r="BY73">
        <v>75</v>
      </c>
      <c r="BZ73">
        <v>80</v>
      </c>
      <c r="CA73">
        <v>83</v>
      </c>
      <c r="CB73">
        <v>33</v>
      </c>
      <c r="CC73">
        <v>28</v>
      </c>
      <c r="CD73">
        <v>31</v>
      </c>
      <c r="CE73">
        <v>31</v>
      </c>
      <c r="CF73">
        <v>31</v>
      </c>
      <c r="CG73">
        <v>28</v>
      </c>
      <c r="CH73">
        <v>34</v>
      </c>
      <c r="CI73">
        <v>33</v>
      </c>
      <c r="CJ73">
        <v>36</v>
      </c>
      <c r="CK73">
        <v>33</v>
      </c>
      <c r="CL73">
        <v>30</v>
      </c>
      <c r="CM73">
        <v>35</v>
      </c>
      <c r="CN73">
        <v>30</v>
      </c>
      <c r="CO73">
        <v>29</v>
      </c>
      <c r="CP73">
        <v>31</v>
      </c>
      <c r="CQ73">
        <v>29</v>
      </c>
      <c r="CR73">
        <v>81</v>
      </c>
    </row>
    <row r="74" spans="1:96">
      <c r="A74">
        <v>73</v>
      </c>
      <c r="B74" t="s">
        <v>472</v>
      </c>
      <c r="C74" t="s">
        <v>413</v>
      </c>
      <c r="D74" t="s">
        <v>192</v>
      </c>
      <c r="E74" t="s">
        <v>473</v>
      </c>
      <c r="F74">
        <v>83</v>
      </c>
      <c r="G74">
        <v>20</v>
      </c>
      <c r="H74" t="s">
        <v>474</v>
      </c>
      <c r="I74" t="s">
        <v>475</v>
      </c>
      <c r="J74">
        <v>83</v>
      </c>
      <c r="K74">
        <v>86</v>
      </c>
      <c r="L74">
        <v>37000000</v>
      </c>
      <c r="M74" t="s">
        <v>192</v>
      </c>
      <c r="N74" t="s">
        <v>192</v>
      </c>
      <c r="O74" t="s">
        <v>199</v>
      </c>
      <c r="P74" t="s">
        <v>476</v>
      </c>
      <c r="Q74">
        <v>25</v>
      </c>
      <c r="R74">
        <v>190</v>
      </c>
      <c r="S74">
        <v>89</v>
      </c>
      <c r="T74">
        <v>1311</v>
      </c>
      <c r="U74">
        <v>457</v>
      </c>
      <c r="V74" t="s">
        <v>477</v>
      </c>
      <c r="W74">
        <v>30000</v>
      </c>
      <c r="X74">
        <v>80500000</v>
      </c>
      <c r="Y74" t="s">
        <v>192</v>
      </c>
      <c r="Z74">
        <v>2025</v>
      </c>
      <c r="AA74">
        <v>1</v>
      </c>
      <c r="AB74">
        <v>2015</v>
      </c>
      <c r="AC74" t="s">
        <v>103</v>
      </c>
      <c r="AD74" t="s">
        <v>104</v>
      </c>
      <c r="AE74">
        <v>3</v>
      </c>
      <c r="AF74">
        <v>1</v>
      </c>
      <c r="AG74">
        <v>3</v>
      </c>
      <c r="AH74" t="s">
        <v>199</v>
      </c>
      <c r="AI74" t="s">
        <v>201</v>
      </c>
      <c r="AJ74" t="s">
        <v>192</v>
      </c>
      <c r="AK74">
        <v>23</v>
      </c>
      <c r="AL74" t="s">
        <v>116</v>
      </c>
      <c r="AM74" t="s">
        <v>116</v>
      </c>
      <c r="AN74">
        <v>82</v>
      </c>
      <c r="AO74">
        <v>79</v>
      </c>
      <c r="AP74">
        <v>77</v>
      </c>
      <c r="AQ74">
        <v>85</v>
      </c>
      <c r="AR74">
        <v>49</v>
      </c>
      <c r="AS74">
        <v>85</v>
      </c>
      <c r="AT74">
        <v>16</v>
      </c>
      <c r="AU74">
        <v>14</v>
      </c>
      <c r="AV74">
        <v>18</v>
      </c>
      <c r="AW74">
        <v>41</v>
      </c>
      <c r="AX74">
        <v>17</v>
      </c>
      <c r="AY74">
        <v>12</v>
      </c>
      <c r="AZ74">
        <v>20</v>
      </c>
      <c r="BA74">
        <v>14</v>
      </c>
      <c r="BB74">
        <v>37</v>
      </c>
      <c r="BC74">
        <v>16</v>
      </c>
      <c r="BD74">
        <v>48</v>
      </c>
      <c r="BE74">
        <v>50</v>
      </c>
      <c r="BF74">
        <v>37</v>
      </c>
      <c r="BG74">
        <v>77</v>
      </c>
      <c r="BH74">
        <v>47</v>
      </c>
      <c r="BI74">
        <v>58</v>
      </c>
      <c r="BJ74">
        <v>66</v>
      </c>
      <c r="BK74">
        <v>44</v>
      </c>
      <c r="BL74">
        <v>76</v>
      </c>
      <c r="BM74">
        <v>13</v>
      </c>
      <c r="BN74">
        <v>29</v>
      </c>
      <c r="BO74">
        <v>26</v>
      </c>
      <c r="BP74">
        <v>14</v>
      </c>
      <c r="BQ74">
        <v>48</v>
      </c>
      <c r="BR74">
        <v>24</v>
      </c>
      <c r="BS74">
        <v>46</v>
      </c>
      <c r="BT74">
        <v>11</v>
      </c>
      <c r="BU74">
        <v>18</v>
      </c>
      <c r="BV74">
        <v>12</v>
      </c>
      <c r="BW74">
        <v>82</v>
      </c>
      <c r="BX74">
        <v>79</v>
      </c>
      <c r="BY74">
        <v>77</v>
      </c>
      <c r="BZ74">
        <v>85</v>
      </c>
      <c r="CA74">
        <v>85</v>
      </c>
      <c r="CB74">
        <v>35</v>
      </c>
      <c r="CC74">
        <v>28</v>
      </c>
      <c r="CD74">
        <v>31</v>
      </c>
      <c r="CE74">
        <v>31</v>
      </c>
      <c r="CF74">
        <v>31</v>
      </c>
      <c r="CG74">
        <v>28</v>
      </c>
      <c r="CH74">
        <v>35</v>
      </c>
      <c r="CI74">
        <v>34</v>
      </c>
      <c r="CJ74">
        <v>37</v>
      </c>
      <c r="CK74">
        <v>34</v>
      </c>
      <c r="CL74">
        <v>33</v>
      </c>
      <c r="CM74">
        <v>36</v>
      </c>
      <c r="CN74">
        <v>33</v>
      </c>
      <c r="CO74">
        <v>32</v>
      </c>
      <c r="CP74">
        <v>33</v>
      </c>
      <c r="CQ74">
        <v>32</v>
      </c>
      <c r="CR74">
        <v>85</v>
      </c>
    </row>
    <row r="75" spans="1:96">
      <c r="A75">
        <v>74</v>
      </c>
      <c r="B75" t="s">
        <v>478</v>
      </c>
      <c r="C75" t="s">
        <v>413</v>
      </c>
      <c r="D75" t="s">
        <v>192</v>
      </c>
      <c r="E75" t="s">
        <v>479</v>
      </c>
      <c r="F75">
        <v>82</v>
      </c>
      <c r="G75">
        <v>20</v>
      </c>
      <c r="H75" t="s">
        <v>480</v>
      </c>
      <c r="I75" t="s">
        <v>478</v>
      </c>
      <c r="J75">
        <v>82</v>
      </c>
      <c r="K75">
        <v>86</v>
      </c>
      <c r="L75">
        <v>34500000</v>
      </c>
      <c r="M75" t="s">
        <v>192</v>
      </c>
      <c r="N75" t="s">
        <v>192</v>
      </c>
      <c r="O75" t="s">
        <v>167</v>
      </c>
      <c r="P75" t="s">
        <v>481</v>
      </c>
      <c r="Q75">
        <v>24</v>
      </c>
      <c r="R75">
        <v>191</v>
      </c>
      <c r="S75">
        <v>77</v>
      </c>
      <c r="T75">
        <v>1396</v>
      </c>
      <c r="U75">
        <v>455</v>
      </c>
      <c r="V75" t="s">
        <v>217</v>
      </c>
      <c r="W75">
        <v>62000</v>
      </c>
      <c r="X75">
        <v>68100000</v>
      </c>
      <c r="Y75" t="s">
        <v>192</v>
      </c>
      <c r="Z75">
        <v>2025</v>
      </c>
      <c r="AA75">
        <v>32</v>
      </c>
      <c r="AB75">
        <v>2021</v>
      </c>
      <c r="AC75" t="s">
        <v>103</v>
      </c>
      <c r="AD75" t="s">
        <v>104</v>
      </c>
      <c r="AE75">
        <v>3</v>
      </c>
      <c r="AF75">
        <v>1</v>
      </c>
      <c r="AG75">
        <v>1</v>
      </c>
      <c r="AH75" t="s">
        <v>167</v>
      </c>
      <c r="AI75" t="s">
        <v>170</v>
      </c>
      <c r="AJ75" t="s">
        <v>114</v>
      </c>
      <c r="AK75">
        <v>22</v>
      </c>
      <c r="AL75" t="s">
        <v>116</v>
      </c>
      <c r="AM75" t="s">
        <v>116</v>
      </c>
      <c r="AN75">
        <v>83</v>
      </c>
      <c r="AO75">
        <v>77</v>
      </c>
      <c r="AP75">
        <v>85</v>
      </c>
      <c r="AQ75">
        <v>84</v>
      </c>
      <c r="AR75">
        <v>48</v>
      </c>
      <c r="AS75">
        <v>78</v>
      </c>
      <c r="AT75">
        <v>15</v>
      </c>
      <c r="AU75">
        <v>14</v>
      </c>
      <c r="AV75">
        <v>15</v>
      </c>
      <c r="AW75">
        <v>54</v>
      </c>
      <c r="AX75">
        <v>16</v>
      </c>
      <c r="AY75">
        <v>18</v>
      </c>
      <c r="AZ75">
        <v>17</v>
      </c>
      <c r="BA75">
        <v>16</v>
      </c>
      <c r="BB75">
        <v>54</v>
      </c>
      <c r="BC75">
        <v>35</v>
      </c>
      <c r="BD75">
        <v>47</v>
      </c>
      <c r="BE75">
        <v>50</v>
      </c>
      <c r="BF75">
        <v>53</v>
      </c>
      <c r="BG75">
        <v>80</v>
      </c>
      <c r="BH75">
        <v>49</v>
      </c>
      <c r="BI75">
        <v>64</v>
      </c>
      <c r="BJ75">
        <v>66</v>
      </c>
      <c r="BK75">
        <v>35</v>
      </c>
      <c r="BL75">
        <v>59</v>
      </c>
      <c r="BM75">
        <v>15</v>
      </c>
      <c r="BN75">
        <v>35</v>
      </c>
      <c r="BO75">
        <v>24</v>
      </c>
      <c r="BP75">
        <v>18</v>
      </c>
      <c r="BQ75">
        <v>64</v>
      </c>
      <c r="BR75">
        <v>25</v>
      </c>
      <c r="BS75">
        <v>65</v>
      </c>
      <c r="BT75">
        <v>20</v>
      </c>
      <c r="BU75">
        <v>16</v>
      </c>
      <c r="BV75">
        <v>15</v>
      </c>
      <c r="BW75">
        <v>83</v>
      </c>
      <c r="BX75">
        <v>77</v>
      </c>
      <c r="BY75">
        <v>85</v>
      </c>
      <c r="BZ75">
        <v>78</v>
      </c>
      <c r="CA75">
        <v>84</v>
      </c>
      <c r="CB75">
        <v>37</v>
      </c>
      <c r="CC75">
        <v>35</v>
      </c>
      <c r="CD75">
        <v>38</v>
      </c>
      <c r="CE75">
        <v>38</v>
      </c>
      <c r="CF75">
        <v>38</v>
      </c>
      <c r="CG75">
        <v>35</v>
      </c>
      <c r="CH75">
        <v>43</v>
      </c>
      <c r="CI75">
        <v>40</v>
      </c>
      <c r="CJ75">
        <v>45</v>
      </c>
      <c r="CK75">
        <v>40</v>
      </c>
      <c r="CL75">
        <v>35</v>
      </c>
      <c r="CM75">
        <v>41</v>
      </c>
      <c r="CN75">
        <v>35</v>
      </c>
      <c r="CO75">
        <v>34</v>
      </c>
      <c r="CP75">
        <v>33</v>
      </c>
      <c r="CQ75">
        <v>34</v>
      </c>
      <c r="CR75">
        <v>83</v>
      </c>
    </row>
    <row r="76" spans="1:96">
      <c r="A76">
        <v>75</v>
      </c>
      <c r="B76" t="s">
        <v>482</v>
      </c>
      <c r="C76" t="s">
        <v>413</v>
      </c>
      <c r="D76" t="s">
        <v>192</v>
      </c>
      <c r="E76" t="s">
        <v>483</v>
      </c>
      <c r="F76">
        <v>82</v>
      </c>
      <c r="G76">
        <v>20</v>
      </c>
      <c r="H76" t="s">
        <v>484</v>
      </c>
      <c r="I76" t="s">
        <v>482</v>
      </c>
      <c r="J76">
        <v>82</v>
      </c>
      <c r="K76">
        <v>84</v>
      </c>
      <c r="L76">
        <v>26000000</v>
      </c>
      <c r="M76" t="s">
        <v>192</v>
      </c>
      <c r="N76" t="s">
        <v>192</v>
      </c>
      <c r="O76" t="s">
        <v>167</v>
      </c>
      <c r="P76" t="s">
        <v>485</v>
      </c>
      <c r="Q76">
        <v>28</v>
      </c>
      <c r="R76">
        <v>185</v>
      </c>
      <c r="S76">
        <v>77</v>
      </c>
      <c r="T76">
        <v>1503</v>
      </c>
      <c r="U76">
        <v>466</v>
      </c>
      <c r="V76" t="s">
        <v>483</v>
      </c>
      <c r="W76">
        <v>45000</v>
      </c>
      <c r="X76">
        <v>51400000</v>
      </c>
      <c r="Y76" t="s">
        <v>192</v>
      </c>
      <c r="Z76">
        <v>2024</v>
      </c>
      <c r="AA76">
        <v>1</v>
      </c>
      <c r="AB76">
        <v>2017</v>
      </c>
      <c r="AC76" t="s">
        <v>103</v>
      </c>
      <c r="AD76" t="s">
        <v>137</v>
      </c>
      <c r="AE76">
        <v>4</v>
      </c>
      <c r="AF76">
        <v>1</v>
      </c>
      <c r="AG76">
        <v>3</v>
      </c>
      <c r="AH76" t="s">
        <v>167</v>
      </c>
      <c r="AI76" t="s">
        <v>170</v>
      </c>
      <c r="AJ76" t="s">
        <v>192</v>
      </c>
      <c r="AK76">
        <v>1</v>
      </c>
      <c r="AL76" t="s">
        <v>116</v>
      </c>
      <c r="AM76" t="s">
        <v>116</v>
      </c>
      <c r="AN76">
        <v>84</v>
      </c>
      <c r="AO76">
        <v>77</v>
      </c>
      <c r="AP76">
        <v>87</v>
      </c>
      <c r="AQ76">
        <v>87</v>
      </c>
      <c r="AR76">
        <v>51</v>
      </c>
      <c r="AS76">
        <v>80</v>
      </c>
      <c r="AT76">
        <v>17</v>
      </c>
      <c r="AU76">
        <v>19</v>
      </c>
      <c r="AV76">
        <v>15</v>
      </c>
      <c r="AW76">
        <v>58</v>
      </c>
      <c r="AX76">
        <v>20</v>
      </c>
      <c r="AY76">
        <v>14</v>
      </c>
      <c r="AZ76">
        <v>18</v>
      </c>
      <c r="BA76">
        <v>16</v>
      </c>
      <c r="BB76">
        <v>60</v>
      </c>
      <c r="BC76">
        <v>40</v>
      </c>
      <c r="BD76">
        <v>56</v>
      </c>
      <c r="BE76">
        <v>44</v>
      </c>
      <c r="BF76">
        <v>57</v>
      </c>
      <c r="BG76">
        <v>75</v>
      </c>
      <c r="BH76">
        <v>55</v>
      </c>
      <c r="BI76">
        <v>65</v>
      </c>
      <c r="BJ76">
        <v>77</v>
      </c>
      <c r="BK76">
        <v>45</v>
      </c>
      <c r="BL76">
        <v>70</v>
      </c>
      <c r="BM76">
        <v>13</v>
      </c>
      <c r="BN76">
        <v>45</v>
      </c>
      <c r="BO76">
        <v>24</v>
      </c>
      <c r="BP76">
        <v>18</v>
      </c>
      <c r="BQ76">
        <v>69</v>
      </c>
      <c r="BR76">
        <v>45</v>
      </c>
      <c r="BS76">
        <v>65</v>
      </c>
      <c r="BT76">
        <v>21</v>
      </c>
      <c r="BU76">
        <v>20</v>
      </c>
      <c r="BV76">
        <v>12</v>
      </c>
      <c r="BW76">
        <v>84</v>
      </c>
      <c r="BX76">
        <v>77</v>
      </c>
      <c r="BY76">
        <v>87</v>
      </c>
      <c r="BZ76">
        <v>80</v>
      </c>
      <c r="CA76">
        <v>87</v>
      </c>
      <c r="CB76">
        <v>39</v>
      </c>
      <c r="CC76">
        <v>36</v>
      </c>
      <c r="CD76">
        <v>39</v>
      </c>
      <c r="CE76">
        <v>39</v>
      </c>
      <c r="CF76">
        <v>39</v>
      </c>
      <c r="CG76">
        <v>36</v>
      </c>
      <c r="CH76">
        <v>46</v>
      </c>
      <c r="CI76">
        <v>43</v>
      </c>
      <c r="CJ76">
        <v>49</v>
      </c>
      <c r="CK76">
        <v>43</v>
      </c>
      <c r="CL76">
        <v>37</v>
      </c>
      <c r="CM76">
        <v>45</v>
      </c>
      <c r="CN76">
        <v>37</v>
      </c>
      <c r="CO76">
        <v>36</v>
      </c>
      <c r="CP76">
        <v>37</v>
      </c>
      <c r="CQ76">
        <v>36</v>
      </c>
      <c r="CR76">
        <v>84</v>
      </c>
    </row>
    <row r="77" spans="1:96">
      <c r="A77">
        <v>76</v>
      </c>
      <c r="B77" t="s">
        <v>486</v>
      </c>
      <c r="C77" t="s">
        <v>413</v>
      </c>
      <c r="D77" t="s">
        <v>192</v>
      </c>
      <c r="E77" t="s">
        <v>220</v>
      </c>
      <c r="F77">
        <v>81</v>
      </c>
      <c r="G77">
        <v>20</v>
      </c>
      <c r="H77" t="s">
        <v>487</v>
      </c>
      <c r="I77" t="s">
        <v>486</v>
      </c>
      <c r="J77">
        <v>80</v>
      </c>
      <c r="K77">
        <v>83</v>
      </c>
      <c r="L77">
        <v>20500000</v>
      </c>
      <c r="M77" t="s">
        <v>192</v>
      </c>
      <c r="N77" t="s">
        <v>192</v>
      </c>
      <c r="O77" t="s">
        <v>199</v>
      </c>
      <c r="P77" t="s">
        <v>488</v>
      </c>
      <c r="Q77">
        <v>27</v>
      </c>
      <c r="R77">
        <v>186</v>
      </c>
      <c r="S77">
        <v>88</v>
      </c>
      <c r="T77">
        <v>1308</v>
      </c>
      <c r="U77">
        <v>435</v>
      </c>
      <c r="V77" t="s">
        <v>220</v>
      </c>
      <c r="W77">
        <v>80000</v>
      </c>
      <c r="X77">
        <v>39500000</v>
      </c>
      <c r="Y77" t="s">
        <v>114</v>
      </c>
      <c r="Z77">
        <v>2025</v>
      </c>
      <c r="AA77">
        <v>1</v>
      </c>
      <c r="AB77">
        <v>2018</v>
      </c>
      <c r="AC77" t="s">
        <v>103</v>
      </c>
      <c r="AD77" t="s">
        <v>104</v>
      </c>
      <c r="AE77">
        <v>4</v>
      </c>
      <c r="AF77">
        <v>1</v>
      </c>
      <c r="AG77">
        <v>2</v>
      </c>
      <c r="AH77" t="s">
        <v>103</v>
      </c>
      <c r="AI77" t="s">
        <v>201</v>
      </c>
      <c r="AJ77" t="s">
        <v>103</v>
      </c>
      <c r="AK77" t="s">
        <v>103</v>
      </c>
      <c r="AL77" t="s">
        <v>116</v>
      </c>
      <c r="AM77" t="s">
        <v>116</v>
      </c>
      <c r="AN77">
        <v>79</v>
      </c>
      <c r="AO77">
        <v>78</v>
      </c>
      <c r="AP77">
        <v>85</v>
      </c>
      <c r="AQ77">
        <v>82</v>
      </c>
      <c r="AR77">
        <v>34</v>
      </c>
      <c r="AS77">
        <v>77</v>
      </c>
      <c r="AT77">
        <v>25</v>
      </c>
      <c r="AU77">
        <v>11</v>
      </c>
      <c r="AV77">
        <v>18</v>
      </c>
      <c r="AW77">
        <v>51</v>
      </c>
      <c r="AX77">
        <v>18</v>
      </c>
      <c r="AY77">
        <v>14</v>
      </c>
      <c r="AZ77">
        <v>25</v>
      </c>
      <c r="BA77">
        <v>19</v>
      </c>
      <c r="BB77">
        <v>51</v>
      </c>
      <c r="BC77">
        <v>33</v>
      </c>
      <c r="BD77">
        <v>34</v>
      </c>
      <c r="BE77">
        <v>33</v>
      </c>
      <c r="BF77">
        <v>41</v>
      </c>
      <c r="BG77">
        <v>70</v>
      </c>
      <c r="BH77">
        <v>39</v>
      </c>
      <c r="BI77">
        <v>64</v>
      </c>
      <c r="BJ77">
        <v>71</v>
      </c>
      <c r="BK77">
        <v>37</v>
      </c>
      <c r="BL77">
        <v>51</v>
      </c>
      <c r="BM77">
        <v>14</v>
      </c>
      <c r="BN77">
        <v>18</v>
      </c>
      <c r="BO77">
        <v>21</v>
      </c>
      <c r="BP77">
        <v>15</v>
      </c>
      <c r="BQ77">
        <v>57</v>
      </c>
      <c r="BR77">
        <v>24</v>
      </c>
      <c r="BS77">
        <v>63</v>
      </c>
      <c r="BT77">
        <v>19</v>
      </c>
      <c r="BU77">
        <v>18</v>
      </c>
      <c r="BV77">
        <v>16</v>
      </c>
      <c r="BW77">
        <v>79</v>
      </c>
      <c r="BX77">
        <v>78</v>
      </c>
      <c r="BY77">
        <v>85</v>
      </c>
      <c r="BZ77">
        <v>77</v>
      </c>
      <c r="CA77">
        <v>82</v>
      </c>
      <c r="CB77">
        <v>33</v>
      </c>
      <c r="CC77">
        <v>31</v>
      </c>
      <c r="CD77">
        <v>33</v>
      </c>
      <c r="CE77">
        <v>33</v>
      </c>
      <c r="CF77">
        <v>33</v>
      </c>
      <c r="CG77">
        <v>31</v>
      </c>
      <c r="CH77">
        <v>38</v>
      </c>
      <c r="CI77">
        <v>36</v>
      </c>
      <c r="CJ77">
        <v>42</v>
      </c>
      <c r="CK77">
        <v>36</v>
      </c>
      <c r="CL77">
        <v>33</v>
      </c>
      <c r="CM77">
        <v>37</v>
      </c>
      <c r="CN77">
        <v>33</v>
      </c>
      <c r="CO77">
        <v>32</v>
      </c>
      <c r="CP77">
        <v>30</v>
      </c>
      <c r="CQ77">
        <v>32</v>
      </c>
      <c r="CR77">
        <v>80</v>
      </c>
    </row>
    <row r="78" spans="1:96">
      <c r="A78">
        <v>77</v>
      </c>
      <c r="B78" t="s">
        <v>489</v>
      </c>
      <c r="C78" t="s">
        <v>413</v>
      </c>
      <c r="D78" t="s">
        <v>192</v>
      </c>
      <c r="E78" t="s">
        <v>110</v>
      </c>
      <c r="F78">
        <v>87</v>
      </c>
      <c r="G78">
        <v>30</v>
      </c>
      <c r="H78" t="s">
        <v>490</v>
      </c>
      <c r="I78" t="s">
        <v>489</v>
      </c>
      <c r="J78">
        <v>87</v>
      </c>
      <c r="K78">
        <v>87</v>
      </c>
      <c r="L78">
        <v>42000000</v>
      </c>
      <c r="M78" t="s">
        <v>192</v>
      </c>
      <c r="N78" t="s">
        <v>192</v>
      </c>
      <c r="O78" t="s">
        <v>199</v>
      </c>
      <c r="P78" t="s">
        <v>491</v>
      </c>
      <c r="Q78">
        <v>31</v>
      </c>
      <c r="R78">
        <v>192</v>
      </c>
      <c r="S78">
        <v>76</v>
      </c>
      <c r="T78">
        <v>1415</v>
      </c>
      <c r="U78">
        <v>468</v>
      </c>
      <c r="V78" t="s">
        <v>110</v>
      </c>
      <c r="W78">
        <v>150000</v>
      </c>
      <c r="X78">
        <v>79800000</v>
      </c>
      <c r="Y78" t="s">
        <v>192</v>
      </c>
      <c r="Z78">
        <v>2023</v>
      </c>
      <c r="AA78">
        <v>1</v>
      </c>
      <c r="AB78">
        <v>2011</v>
      </c>
      <c r="AC78" t="s">
        <v>103</v>
      </c>
      <c r="AD78" t="s">
        <v>104</v>
      </c>
      <c r="AE78">
        <v>3</v>
      </c>
      <c r="AF78">
        <v>1</v>
      </c>
      <c r="AG78">
        <v>4</v>
      </c>
      <c r="AH78" t="s">
        <v>199</v>
      </c>
      <c r="AI78" t="s">
        <v>201</v>
      </c>
      <c r="AJ78" t="s">
        <v>114</v>
      </c>
      <c r="AK78">
        <v>1</v>
      </c>
      <c r="AL78" t="s">
        <v>116</v>
      </c>
      <c r="AM78" t="s">
        <v>116</v>
      </c>
      <c r="AN78">
        <v>88</v>
      </c>
      <c r="AO78">
        <v>80</v>
      </c>
      <c r="AP78">
        <v>76</v>
      </c>
      <c r="AQ78">
        <v>89</v>
      </c>
      <c r="AR78">
        <v>51</v>
      </c>
      <c r="AS78">
        <v>84</v>
      </c>
      <c r="AT78">
        <v>17</v>
      </c>
      <c r="AU78">
        <v>13</v>
      </c>
      <c r="AV78">
        <v>21</v>
      </c>
      <c r="AW78">
        <v>48</v>
      </c>
      <c r="AX78">
        <v>13</v>
      </c>
      <c r="AY78">
        <v>18</v>
      </c>
      <c r="AZ78">
        <v>21</v>
      </c>
      <c r="BA78">
        <v>19</v>
      </c>
      <c r="BB78">
        <v>50</v>
      </c>
      <c r="BC78">
        <v>34</v>
      </c>
      <c r="BD78">
        <v>52</v>
      </c>
      <c r="BE78">
        <v>50</v>
      </c>
      <c r="BF78">
        <v>63</v>
      </c>
      <c r="BG78">
        <v>89</v>
      </c>
      <c r="BH78">
        <v>43</v>
      </c>
      <c r="BI78">
        <v>57</v>
      </c>
      <c r="BJ78">
        <v>67</v>
      </c>
      <c r="BK78">
        <v>43</v>
      </c>
      <c r="BL78">
        <v>55</v>
      </c>
      <c r="BM78">
        <v>12</v>
      </c>
      <c r="BN78">
        <v>30</v>
      </c>
      <c r="BO78">
        <v>30</v>
      </c>
      <c r="BP78">
        <v>12</v>
      </c>
      <c r="BQ78">
        <v>53</v>
      </c>
      <c r="BR78">
        <v>29</v>
      </c>
      <c r="BS78">
        <v>58</v>
      </c>
      <c r="BT78">
        <v>25</v>
      </c>
      <c r="BU78">
        <v>21</v>
      </c>
      <c r="BV78">
        <v>13</v>
      </c>
      <c r="BW78">
        <v>88</v>
      </c>
      <c r="BX78">
        <v>80</v>
      </c>
      <c r="BY78">
        <v>76</v>
      </c>
      <c r="BZ78">
        <v>84</v>
      </c>
      <c r="CA78">
        <v>89</v>
      </c>
      <c r="CB78">
        <v>37</v>
      </c>
      <c r="CC78">
        <v>34</v>
      </c>
      <c r="CD78">
        <v>36</v>
      </c>
      <c r="CE78">
        <v>36</v>
      </c>
      <c r="CF78">
        <v>36</v>
      </c>
      <c r="CG78">
        <v>34</v>
      </c>
      <c r="CH78">
        <v>42</v>
      </c>
      <c r="CI78">
        <v>40</v>
      </c>
      <c r="CJ78">
        <v>44</v>
      </c>
      <c r="CK78">
        <v>40</v>
      </c>
      <c r="CL78">
        <v>38</v>
      </c>
      <c r="CM78">
        <v>42</v>
      </c>
      <c r="CN78">
        <v>38</v>
      </c>
      <c r="CO78">
        <v>37</v>
      </c>
      <c r="CP78">
        <v>36</v>
      </c>
      <c r="CQ78">
        <v>37</v>
      </c>
      <c r="CR78">
        <v>87</v>
      </c>
    </row>
    <row r="79" spans="1:96">
      <c r="A79">
        <v>78</v>
      </c>
      <c r="B79" t="s">
        <v>492</v>
      </c>
      <c r="C79" t="s">
        <v>413</v>
      </c>
      <c r="D79" t="s">
        <v>192</v>
      </c>
      <c r="E79" t="s">
        <v>493</v>
      </c>
      <c r="F79">
        <v>87</v>
      </c>
      <c r="G79">
        <v>30</v>
      </c>
      <c r="H79" t="s">
        <v>494</v>
      </c>
      <c r="I79" t="s">
        <v>495</v>
      </c>
      <c r="J79">
        <v>88</v>
      </c>
      <c r="K79">
        <v>88</v>
      </c>
      <c r="L79">
        <v>10000000</v>
      </c>
      <c r="M79" t="s">
        <v>192</v>
      </c>
      <c r="N79" t="s">
        <v>192</v>
      </c>
      <c r="O79" t="s">
        <v>496</v>
      </c>
      <c r="P79" t="s">
        <v>497</v>
      </c>
      <c r="Q79">
        <v>35</v>
      </c>
      <c r="R79">
        <v>185</v>
      </c>
      <c r="S79">
        <v>80</v>
      </c>
      <c r="T79">
        <v>1428</v>
      </c>
      <c r="U79">
        <v>478</v>
      </c>
      <c r="V79" t="s">
        <v>158</v>
      </c>
      <c r="W79">
        <v>85000</v>
      </c>
      <c r="X79">
        <v>18500000</v>
      </c>
      <c r="Y79" t="s">
        <v>114</v>
      </c>
      <c r="Z79">
        <v>2024</v>
      </c>
      <c r="AA79">
        <v>1</v>
      </c>
      <c r="AB79">
        <v>2019</v>
      </c>
      <c r="AC79" t="s">
        <v>103</v>
      </c>
      <c r="AD79" t="s">
        <v>104</v>
      </c>
      <c r="AE79">
        <v>3</v>
      </c>
      <c r="AF79">
        <v>1</v>
      </c>
      <c r="AG79">
        <v>3</v>
      </c>
      <c r="AH79" t="s">
        <v>103</v>
      </c>
      <c r="AI79" t="s">
        <v>103</v>
      </c>
      <c r="AJ79" t="s">
        <v>103</v>
      </c>
      <c r="AK79" t="s">
        <v>103</v>
      </c>
      <c r="AL79" t="s">
        <v>116</v>
      </c>
      <c r="AM79" t="s">
        <v>116</v>
      </c>
      <c r="AN79">
        <v>89</v>
      </c>
      <c r="AO79">
        <v>84</v>
      </c>
      <c r="AP79">
        <v>75</v>
      </c>
      <c r="AQ79">
        <v>89</v>
      </c>
      <c r="AR79">
        <v>54</v>
      </c>
      <c r="AS79">
        <v>87</v>
      </c>
      <c r="AT79">
        <v>11</v>
      </c>
      <c r="AU79">
        <v>15</v>
      </c>
      <c r="AV79">
        <v>11</v>
      </c>
      <c r="AW79">
        <v>40</v>
      </c>
      <c r="AX79">
        <v>11</v>
      </c>
      <c r="AY79">
        <v>24</v>
      </c>
      <c r="AZ79">
        <v>21</v>
      </c>
      <c r="BA79">
        <v>15</v>
      </c>
      <c r="BB79">
        <v>37</v>
      </c>
      <c r="BC79">
        <v>30</v>
      </c>
      <c r="BD79">
        <v>54</v>
      </c>
      <c r="BE79">
        <v>53</v>
      </c>
      <c r="BF79">
        <v>60</v>
      </c>
      <c r="BG79">
        <v>85</v>
      </c>
      <c r="BH79">
        <v>61</v>
      </c>
      <c r="BI79">
        <v>56</v>
      </c>
      <c r="BJ79">
        <v>74</v>
      </c>
      <c r="BK79">
        <v>39</v>
      </c>
      <c r="BL79">
        <v>75</v>
      </c>
      <c r="BM79">
        <v>13</v>
      </c>
      <c r="BN79">
        <v>32</v>
      </c>
      <c r="BO79">
        <v>22</v>
      </c>
      <c r="BP79">
        <v>16</v>
      </c>
      <c r="BQ79">
        <v>68</v>
      </c>
      <c r="BR79">
        <v>25</v>
      </c>
      <c r="BS79">
        <v>67</v>
      </c>
      <c r="BT79">
        <v>28</v>
      </c>
      <c r="BU79">
        <v>14</v>
      </c>
      <c r="BV79">
        <v>14</v>
      </c>
      <c r="BW79">
        <v>89</v>
      </c>
      <c r="BX79">
        <v>84</v>
      </c>
      <c r="BY79">
        <v>75</v>
      </c>
      <c r="BZ79">
        <v>87</v>
      </c>
      <c r="CA79">
        <v>89</v>
      </c>
      <c r="CB79">
        <v>37</v>
      </c>
      <c r="CC79">
        <v>35</v>
      </c>
      <c r="CD79">
        <v>37</v>
      </c>
      <c r="CE79">
        <v>37</v>
      </c>
      <c r="CF79">
        <v>37</v>
      </c>
      <c r="CG79">
        <v>35</v>
      </c>
      <c r="CH79">
        <v>43</v>
      </c>
      <c r="CI79">
        <v>40</v>
      </c>
      <c r="CJ79">
        <v>42</v>
      </c>
      <c r="CK79">
        <v>40</v>
      </c>
      <c r="CL79">
        <v>35</v>
      </c>
      <c r="CM79">
        <v>39</v>
      </c>
      <c r="CN79">
        <v>35</v>
      </c>
      <c r="CO79">
        <v>34</v>
      </c>
      <c r="CP79">
        <v>35</v>
      </c>
      <c r="CQ79">
        <v>34</v>
      </c>
      <c r="CR79">
        <v>88</v>
      </c>
    </row>
    <row r="80" spans="1:96">
      <c r="A80">
        <v>79</v>
      </c>
      <c r="B80" t="s">
        <v>498</v>
      </c>
      <c r="C80" t="s">
        <v>413</v>
      </c>
      <c r="D80" t="s">
        <v>192</v>
      </c>
      <c r="E80" t="s">
        <v>499</v>
      </c>
      <c r="F80">
        <v>85</v>
      </c>
      <c r="G80">
        <v>30</v>
      </c>
      <c r="H80" t="s">
        <v>500</v>
      </c>
      <c r="I80" t="s">
        <v>501</v>
      </c>
      <c r="J80">
        <v>85</v>
      </c>
      <c r="K80">
        <v>85</v>
      </c>
      <c r="L80">
        <v>26500000</v>
      </c>
      <c r="M80" t="s">
        <v>192</v>
      </c>
      <c r="N80" t="s">
        <v>192</v>
      </c>
      <c r="O80" t="s">
        <v>502</v>
      </c>
      <c r="P80" t="s">
        <v>503</v>
      </c>
      <c r="Q80">
        <v>32</v>
      </c>
      <c r="R80">
        <v>191</v>
      </c>
      <c r="S80">
        <v>86</v>
      </c>
      <c r="T80">
        <v>1305</v>
      </c>
      <c r="U80">
        <v>456</v>
      </c>
      <c r="V80" t="s">
        <v>504</v>
      </c>
      <c r="W80">
        <v>65000</v>
      </c>
      <c r="X80">
        <v>45100000</v>
      </c>
      <c r="Y80" t="s">
        <v>192</v>
      </c>
      <c r="Z80">
        <v>2025</v>
      </c>
      <c r="AA80">
        <v>1</v>
      </c>
      <c r="AB80">
        <v>2015</v>
      </c>
      <c r="AC80" t="s">
        <v>103</v>
      </c>
      <c r="AD80" t="s">
        <v>104</v>
      </c>
      <c r="AE80">
        <v>2</v>
      </c>
      <c r="AF80">
        <v>1</v>
      </c>
      <c r="AG80">
        <v>3</v>
      </c>
      <c r="AH80" t="s">
        <v>502</v>
      </c>
      <c r="AI80" t="s">
        <v>505</v>
      </c>
      <c r="AJ80" t="s">
        <v>192</v>
      </c>
      <c r="AK80">
        <v>1</v>
      </c>
      <c r="AL80" t="s">
        <v>116</v>
      </c>
      <c r="AM80" t="s">
        <v>116</v>
      </c>
      <c r="AN80">
        <v>85</v>
      </c>
      <c r="AO80">
        <v>84</v>
      </c>
      <c r="AP80">
        <v>76</v>
      </c>
      <c r="AQ80">
        <v>85</v>
      </c>
      <c r="AR80">
        <v>43</v>
      </c>
      <c r="AS80">
        <v>83</v>
      </c>
      <c r="AT80">
        <v>16</v>
      </c>
      <c r="AU80">
        <v>10</v>
      </c>
      <c r="AV80">
        <v>23</v>
      </c>
      <c r="AW80">
        <v>35</v>
      </c>
      <c r="AX80">
        <v>10</v>
      </c>
      <c r="AY80">
        <v>19</v>
      </c>
      <c r="AZ80">
        <v>18</v>
      </c>
      <c r="BA80">
        <v>11</v>
      </c>
      <c r="BB80">
        <v>31</v>
      </c>
      <c r="BC80">
        <v>25</v>
      </c>
      <c r="BD80">
        <v>42</v>
      </c>
      <c r="BE80">
        <v>44</v>
      </c>
      <c r="BF80">
        <v>41</v>
      </c>
      <c r="BG80">
        <v>81</v>
      </c>
      <c r="BH80">
        <v>42</v>
      </c>
      <c r="BI80">
        <v>57</v>
      </c>
      <c r="BJ80">
        <v>67</v>
      </c>
      <c r="BK80">
        <v>37</v>
      </c>
      <c r="BL80">
        <v>74</v>
      </c>
      <c r="BM80">
        <v>12</v>
      </c>
      <c r="BN80">
        <v>34</v>
      </c>
      <c r="BO80">
        <v>23</v>
      </c>
      <c r="BP80">
        <v>11</v>
      </c>
      <c r="BQ80">
        <v>44</v>
      </c>
      <c r="BR80">
        <v>24</v>
      </c>
      <c r="BS80">
        <v>45</v>
      </c>
      <c r="BT80">
        <v>25</v>
      </c>
      <c r="BU80">
        <v>16</v>
      </c>
      <c r="BV80">
        <v>20</v>
      </c>
      <c r="BW80">
        <v>85</v>
      </c>
      <c r="BX80">
        <v>84</v>
      </c>
      <c r="BY80">
        <v>76</v>
      </c>
      <c r="BZ80">
        <v>83</v>
      </c>
      <c r="CA80">
        <v>85</v>
      </c>
      <c r="CB80">
        <v>34</v>
      </c>
      <c r="CC80">
        <v>29</v>
      </c>
      <c r="CD80">
        <v>31</v>
      </c>
      <c r="CE80">
        <v>31</v>
      </c>
      <c r="CF80">
        <v>31</v>
      </c>
      <c r="CG80">
        <v>29</v>
      </c>
      <c r="CH80">
        <v>34</v>
      </c>
      <c r="CI80">
        <v>34</v>
      </c>
      <c r="CJ80">
        <v>36</v>
      </c>
      <c r="CK80">
        <v>34</v>
      </c>
      <c r="CL80">
        <v>34</v>
      </c>
      <c r="CM80">
        <v>36</v>
      </c>
      <c r="CN80">
        <v>34</v>
      </c>
      <c r="CO80">
        <v>34</v>
      </c>
      <c r="CP80">
        <v>36</v>
      </c>
      <c r="CQ80">
        <v>34</v>
      </c>
      <c r="CR80">
        <v>85</v>
      </c>
    </row>
    <row r="81" spans="1:96">
      <c r="A81">
        <v>80</v>
      </c>
      <c r="B81" t="s">
        <v>506</v>
      </c>
      <c r="C81" t="s">
        <v>413</v>
      </c>
      <c r="D81" t="s">
        <v>192</v>
      </c>
      <c r="E81" t="s">
        <v>507</v>
      </c>
      <c r="F81">
        <v>85</v>
      </c>
      <c r="G81">
        <v>30</v>
      </c>
      <c r="H81" t="s">
        <v>508</v>
      </c>
      <c r="I81" t="s">
        <v>509</v>
      </c>
      <c r="J81">
        <v>84</v>
      </c>
      <c r="K81">
        <v>84</v>
      </c>
      <c r="L81">
        <v>22500000</v>
      </c>
      <c r="M81" t="s">
        <v>192</v>
      </c>
      <c r="N81" t="s">
        <v>192</v>
      </c>
      <c r="O81" t="s">
        <v>510</v>
      </c>
      <c r="P81" t="s">
        <v>511</v>
      </c>
      <c r="Q81">
        <v>31</v>
      </c>
      <c r="R81">
        <v>192</v>
      </c>
      <c r="S81">
        <v>78</v>
      </c>
      <c r="T81">
        <v>1262</v>
      </c>
      <c r="U81">
        <v>447</v>
      </c>
      <c r="V81" t="s">
        <v>507</v>
      </c>
      <c r="W81">
        <v>34000</v>
      </c>
      <c r="X81">
        <v>47300000</v>
      </c>
      <c r="Y81" t="s">
        <v>192</v>
      </c>
      <c r="Z81">
        <v>2025</v>
      </c>
      <c r="AA81">
        <v>13</v>
      </c>
      <c r="AB81">
        <v>2020</v>
      </c>
      <c r="AC81" t="s">
        <v>103</v>
      </c>
      <c r="AD81" t="s">
        <v>137</v>
      </c>
      <c r="AE81">
        <v>2</v>
      </c>
      <c r="AF81">
        <v>1</v>
      </c>
      <c r="AG81">
        <v>1</v>
      </c>
      <c r="AH81" t="s">
        <v>510</v>
      </c>
      <c r="AI81" t="s">
        <v>512</v>
      </c>
      <c r="AJ81" t="s">
        <v>192</v>
      </c>
      <c r="AK81">
        <v>1</v>
      </c>
      <c r="AL81" t="s">
        <v>116</v>
      </c>
      <c r="AM81" t="s">
        <v>116</v>
      </c>
      <c r="AN81">
        <v>84</v>
      </c>
      <c r="AO81">
        <v>81</v>
      </c>
      <c r="AP81">
        <v>76</v>
      </c>
      <c r="AQ81">
        <v>86</v>
      </c>
      <c r="AR81">
        <v>36</v>
      </c>
      <c r="AS81">
        <v>84</v>
      </c>
      <c r="AT81">
        <v>15</v>
      </c>
      <c r="AU81">
        <v>14</v>
      </c>
      <c r="AV81">
        <v>14</v>
      </c>
      <c r="AW81">
        <v>39</v>
      </c>
      <c r="AX81">
        <v>13</v>
      </c>
      <c r="AY81">
        <v>20</v>
      </c>
      <c r="AZ81">
        <v>12</v>
      </c>
      <c r="BA81">
        <v>19</v>
      </c>
      <c r="BB81">
        <v>44</v>
      </c>
      <c r="BC81">
        <v>12</v>
      </c>
      <c r="BD81">
        <v>37</v>
      </c>
      <c r="BE81">
        <v>34</v>
      </c>
      <c r="BF81">
        <v>47</v>
      </c>
      <c r="BG81">
        <v>80</v>
      </c>
      <c r="BH81">
        <v>29</v>
      </c>
      <c r="BI81">
        <v>57</v>
      </c>
      <c r="BJ81">
        <v>48</v>
      </c>
      <c r="BK81">
        <v>43</v>
      </c>
      <c r="BL81">
        <v>69</v>
      </c>
      <c r="BM81">
        <v>19</v>
      </c>
      <c r="BN81">
        <v>25</v>
      </c>
      <c r="BO81">
        <v>12</v>
      </c>
      <c r="BP81">
        <v>10</v>
      </c>
      <c r="BQ81">
        <v>62</v>
      </c>
      <c r="BR81">
        <v>24</v>
      </c>
      <c r="BS81">
        <v>57</v>
      </c>
      <c r="BT81">
        <v>20</v>
      </c>
      <c r="BU81">
        <v>18</v>
      </c>
      <c r="BV81">
        <v>15</v>
      </c>
      <c r="BW81">
        <v>84</v>
      </c>
      <c r="BX81">
        <v>81</v>
      </c>
      <c r="BY81">
        <v>76</v>
      </c>
      <c r="BZ81">
        <v>84</v>
      </c>
      <c r="CA81">
        <v>86</v>
      </c>
      <c r="CB81">
        <v>31</v>
      </c>
      <c r="CC81">
        <v>28</v>
      </c>
      <c r="CD81">
        <v>31</v>
      </c>
      <c r="CE81">
        <v>31</v>
      </c>
      <c r="CF81">
        <v>31</v>
      </c>
      <c r="CG81">
        <v>28</v>
      </c>
      <c r="CH81">
        <v>35</v>
      </c>
      <c r="CI81">
        <v>33</v>
      </c>
      <c r="CJ81">
        <v>38</v>
      </c>
      <c r="CK81">
        <v>33</v>
      </c>
      <c r="CL81">
        <v>30</v>
      </c>
      <c r="CM81">
        <v>34</v>
      </c>
      <c r="CN81">
        <v>30</v>
      </c>
      <c r="CO81">
        <v>29</v>
      </c>
      <c r="CP81">
        <v>30</v>
      </c>
      <c r="CQ81">
        <v>29</v>
      </c>
      <c r="CR81">
        <v>84</v>
      </c>
    </row>
    <row r="82" spans="1:96">
      <c r="A82">
        <v>81</v>
      </c>
      <c r="B82" t="s">
        <v>513</v>
      </c>
      <c r="C82" t="s">
        <v>413</v>
      </c>
      <c r="D82" t="s">
        <v>192</v>
      </c>
      <c r="E82" t="s">
        <v>514</v>
      </c>
      <c r="F82">
        <v>84</v>
      </c>
      <c r="G82">
        <v>30</v>
      </c>
      <c r="H82" t="s">
        <v>515</v>
      </c>
      <c r="I82" t="s">
        <v>513</v>
      </c>
      <c r="J82">
        <v>84</v>
      </c>
      <c r="K82">
        <v>85</v>
      </c>
      <c r="L82">
        <v>31500000</v>
      </c>
      <c r="M82" t="s">
        <v>192</v>
      </c>
      <c r="N82" t="s">
        <v>192</v>
      </c>
      <c r="O82" t="s">
        <v>101</v>
      </c>
      <c r="P82" t="s">
        <v>516</v>
      </c>
      <c r="Q82">
        <v>30</v>
      </c>
      <c r="R82">
        <v>197</v>
      </c>
      <c r="S82">
        <v>86</v>
      </c>
      <c r="T82">
        <v>1301</v>
      </c>
      <c r="U82">
        <v>460</v>
      </c>
      <c r="V82" t="s">
        <v>517</v>
      </c>
      <c r="W82">
        <v>55000</v>
      </c>
      <c r="X82">
        <v>55900000</v>
      </c>
      <c r="Y82" t="s">
        <v>192</v>
      </c>
      <c r="Z82">
        <v>2024</v>
      </c>
      <c r="AA82">
        <v>1</v>
      </c>
      <c r="AB82">
        <v>2015</v>
      </c>
      <c r="AC82" t="s">
        <v>103</v>
      </c>
      <c r="AD82" t="s">
        <v>137</v>
      </c>
      <c r="AE82">
        <v>2</v>
      </c>
      <c r="AF82">
        <v>1</v>
      </c>
      <c r="AG82">
        <v>3</v>
      </c>
      <c r="AH82" t="s">
        <v>101</v>
      </c>
      <c r="AI82" t="s">
        <v>105</v>
      </c>
      <c r="AJ82" t="s">
        <v>114</v>
      </c>
      <c r="AK82">
        <v>13</v>
      </c>
      <c r="AL82" t="s">
        <v>116</v>
      </c>
      <c r="AM82" t="s">
        <v>116</v>
      </c>
      <c r="AN82">
        <v>84</v>
      </c>
      <c r="AO82">
        <v>82</v>
      </c>
      <c r="AP82">
        <v>79</v>
      </c>
      <c r="AQ82">
        <v>86</v>
      </c>
      <c r="AR82">
        <v>45</v>
      </c>
      <c r="AS82">
        <v>84</v>
      </c>
      <c r="AT82">
        <v>15</v>
      </c>
      <c r="AU82">
        <v>15</v>
      </c>
      <c r="AV82">
        <v>14</v>
      </c>
      <c r="AW82">
        <v>35</v>
      </c>
      <c r="AX82">
        <v>13</v>
      </c>
      <c r="AY82">
        <v>14</v>
      </c>
      <c r="AZ82">
        <v>20</v>
      </c>
      <c r="BA82">
        <v>13</v>
      </c>
      <c r="BB82">
        <v>37</v>
      </c>
      <c r="BC82">
        <v>23</v>
      </c>
      <c r="BD82">
        <v>44</v>
      </c>
      <c r="BE82">
        <v>46</v>
      </c>
      <c r="BF82">
        <v>50</v>
      </c>
      <c r="BG82">
        <v>80</v>
      </c>
      <c r="BH82">
        <v>43</v>
      </c>
      <c r="BI82">
        <v>59</v>
      </c>
      <c r="BJ82">
        <v>58</v>
      </c>
      <c r="BK82">
        <v>44</v>
      </c>
      <c r="BL82">
        <v>72</v>
      </c>
      <c r="BM82">
        <v>18</v>
      </c>
      <c r="BN82">
        <v>33</v>
      </c>
      <c r="BO82">
        <v>16</v>
      </c>
      <c r="BP82">
        <v>15</v>
      </c>
      <c r="BQ82">
        <v>42</v>
      </c>
      <c r="BR82">
        <v>20</v>
      </c>
      <c r="BS82">
        <v>40</v>
      </c>
      <c r="BT82">
        <v>11</v>
      </c>
      <c r="BU82">
        <v>19</v>
      </c>
      <c r="BV82">
        <v>17</v>
      </c>
      <c r="BW82">
        <v>84</v>
      </c>
      <c r="BX82">
        <v>82</v>
      </c>
      <c r="BY82">
        <v>79</v>
      </c>
      <c r="BZ82">
        <v>84</v>
      </c>
      <c r="CA82">
        <v>86</v>
      </c>
      <c r="CB82">
        <v>35</v>
      </c>
      <c r="CC82">
        <v>29</v>
      </c>
      <c r="CD82">
        <v>31</v>
      </c>
      <c r="CE82">
        <v>31</v>
      </c>
      <c r="CF82">
        <v>31</v>
      </c>
      <c r="CG82">
        <v>29</v>
      </c>
      <c r="CH82">
        <v>35</v>
      </c>
      <c r="CI82">
        <v>34</v>
      </c>
      <c r="CJ82">
        <v>36</v>
      </c>
      <c r="CK82">
        <v>34</v>
      </c>
      <c r="CL82">
        <v>32</v>
      </c>
      <c r="CM82">
        <v>35</v>
      </c>
      <c r="CN82">
        <v>32</v>
      </c>
      <c r="CO82">
        <v>32</v>
      </c>
      <c r="CP82">
        <v>32</v>
      </c>
      <c r="CQ82">
        <v>32</v>
      </c>
      <c r="CR82">
        <v>85</v>
      </c>
    </row>
    <row r="83" spans="1:96">
      <c r="A83">
        <v>82</v>
      </c>
      <c r="B83" t="s">
        <v>518</v>
      </c>
      <c r="C83" t="s">
        <v>519</v>
      </c>
      <c r="D83" t="s">
        <v>520</v>
      </c>
      <c r="E83" t="s">
        <v>153</v>
      </c>
      <c r="F83">
        <v>91</v>
      </c>
      <c r="G83">
        <v>40</v>
      </c>
      <c r="H83" t="s">
        <v>521</v>
      </c>
      <c r="I83" t="s">
        <v>522</v>
      </c>
      <c r="J83">
        <v>91</v>
      </c>
      <c r="K83">
        <v>95</v>
      </c>
      <c r="L83">
        <v>190500000</v>
      </c>
      <c r="M83" t="s">
        <v>523</v>
      </c>
      <c r="N83" t="s">
        <v>520</v>
      </c>
      <c r="O83" t="s">
        <v>319</v>
      </c>
      <c r="P83" t="s">
        <v>524</v>
      </c>
      <c r="Q83">
        <v>23</v>
      </c>
      <c r="R83">
        <v>182</v>
      </c>
      <c r="S83">
        <v>73</v>
      </c>
      <c r="T83">
        <v>2177</v>
      </c>
      <c r="U83">
        <v>470</v>
      </c>
      <c r="V83" t="s">
        <v>158</v>
      </c>
      <c r="W83">
        <v>230000</v>
      </c>
      <c r="X83">
        <v>366700000</v>
      </c>
      <c r="Y83" t="s">
        <v>520</v>
      </c>
      <c r="Z83">
        <v>2024</v>
      </c>
      <c r="AA83">
        <v>7</v>
      </c>
      <c r="AB83">
        <v>2018</v>
      </c>
      <c r="AC83" t="s">
        <v>103</v>
      </c>
      <c r="AD83" t="s">
        <v>104</v>
      </c>
      <c r="AE83">
        <v>4</v>
      </c>
      <c r="AF83">
        <v>5</v>
      </c>
      <c r="AG83">
        <v>4</v>
      </c>
      <c r="AH83" t="s">
        <v>319</v>
      </c>
      <c r="AI83" t="s">
        <v>321</v>
      </c>
      <c r="AJ83" t="s">
        <v>520</v>
      </c>
      <c r="AK83">
        <v>10</v>
      </c>
      <c r="AL83" t="s">
        <v>107</v>
      </c>
      <c r="AM83" t="s">
        <v>406</v>
      </c>
      <c r="AN83">
        <v>97</v>
      </c>
      <c r="AO83">
        <v>89</v>
      </c>
      <c r="AP83">
        <v>80</v>
      </c>
      <c r="AQ83">
        <v>92</v>
      </c>
      <c r="AR83">
        <v>36</v>
      </c>
      <c r="AS83">
        <v>76</v>
      </c>
      <c r="AT83">
        <v>78</v>
      </c>
      <c r="AU83">
        <v>93</v>
      </c>
      <c r="AV83">
        <v>72</v>
      </c>
      <c r="AW83">
        <v>85</v>
      </c>
      <c r="AX83">
        <v>83</v>
      </c>
      <c r="AY83">
        <v>93</v>
      </c>
      <c r="AZ83">
        <v>80</v>
      </c>
      <c r="BA83">
        <v>69</v>
      </c>
      <c r="BB83">
        <v>71</v>
      </c>
      <c r="BC83">
        <v>91</v>
      </c>
      <c r="BD83">
        <v>97</v>
      </c>
      <c r="BE83">
        <v>97</v>
      </c>
      <c r="BF83">
        <v>93</v>
      </c>
      <c r="BG83">
        <v>93</v>
      </c>
      <c r="BH83">
        <v>81</v>
      </c>
      <c r="BI83">
        <v>88</v>
      </c>
      <c r="BJ83">
        <v>77</v>
      </c>
      <c r="BK83">
        <v>87</v>
      </c>
      <c r="BL83">
        <v>76</v>
      </c>
      <c r="BM83">
        <v>82</v>
      </c>
      <c r="BN83">
        <v>64</v>
      </c>
      <c r="BO83">
        <v>38</v>
      </c>
      <c r="BP83">
        <v>92</v>
      </c>
      <c r="BQ83">
        <v>83</v>
      </c>
      <c r="BR83">
        <v>80</v>
      </c>
      <c r="BS83">
        <v>88</v>
      </c>
      <c r="BT83">
        <v>26</v>
      </c>
      <c r="BU83">
        <v>34</v>
      </c>
      <c r="BV83">
        <v>32</v>
      </c>
      <c r="BW83">
        <v>13</v>
      </c>
      <c r="BX83">
        <v>5</v>
      </c>
      <c r="BY83">
        <v>7</v>
      </c>
      <c r="BZ83">
        <v>11</v>
      </c>
      <c r="CA83">
        <v>6</v>
      </c>
      <c r="CB83">
        <v>92</v>
      </c>
      <c r="CC83">
        <v>90</v>
      </c>
      <c r="CD83">
        <v>90</v>
      </c>
      <c r="CE83">
        <v>90</v>
      </c>
      <c r="CF83">
        <v>90</v>
      </c>
      <c r="CG83">
        <v>90</v>
      </c>
      <c r="CH83">
        <v>92</v>
      </c>
      <c r="CI83">
        <v>92</v>
      </c>
      <c r="CJ83">
        <v>84</v>
      </c>
      <c r="CK83">
        <v>92</v>
      </c>
      <c r="CL83">
        <v>70</v>
      </c>
      <c r="CM83">
        <v>66</v>
      </c>
      <c r="CN83">
        <v>70</v>
      </c>
      <c r="CO83">
        <v>66</v>
      </c>
      <c r="CP83">
        <v>57</v>
      </c>
      <c r="CQ83">
        <v>66</v>
      </c>
      <c r="CR83">
        <v>21</v>
      </c>
    </row>
    <row r="84" spans="1:96">
      <c r="A84">
        <v>83</v>
      </c>
      <c r="B84" t="s">
        <v>525</v>
      </c>
      <c r="C84" t="s">
        <v>519</v>
      </c>
      <c r="D84" t="s">
        <v>520</v>
      </c>
      <c r="E84" t="s">
        <v>140</v>
      </c>
      <c r="F84">
        <v>91</v>
      </c>
      <c r="G84">
        <v>40</v>
      </c>
      <c r="H84" t="s">
        <v>526</v>
      </c>
      <c r="I84" t="s">
        <v>525</v>
      </c>
      <c r="J84">
        <v>91</v>
      </c>
      <c r="K84">
        <v>91</v>
      </c>
      <c r="L84">
        <v>84000000</v>
      </c>
      <c r="M84" t="s">
        <v>520</v>
      </c>
      <c r="N84" t="s">
        <v>520</v>
      </c>
      <c r="O84" t="s">
        <v>326</v>
      </c>
      <c r="P84" t="s">
        <v>527</v>
      </c>
      <c r="Q84">
        <v>33</v>
      </c>
      <c r="R84">
        <v>185</v>
      </c>
      <c r="S84">
        <v>81</v>
      </c>
      <c r="T84">
        <v>2205</v>
      </c>
      <c r="U84">
        <v>458</v>
      </c>
      <c r="V84" t="s">
        <v>144</v>
      </c>
      <c r="W84">
        <v>420000</v>
      </c>
      <c r="X84">
        <v>172200000</v>
      </c>
      <c r="Y84" t="s">
        <v>520</v>
      </c>
      <c r="Z84">
        <v>2025</v>
      </c>
      <c r="AA84">
        <v>9</v>
      </c>
      <c r="AB84">
        <v>2022</v>
      </c>
      <c r="AC84" t="s">
        <v>103</v>
      </c>
      <c r="AD84" t="s">
        <v>104</v>
      </c>
      <c r="AE84">
        <v>4</v>
      </c>
      <c r="AF84">
        <v>4</v>
      </c>
      <c r="AG84">
        <v>5</v>
      </c>
      <c r="AH84" t="s">
        <v>326</v>
      </c>
      <c r="AI84" t="s">
        <v>328</v>
      </c>
      <c r="AJ84" t="s">
        <v>520</v>
      </c>
      <c r="AK84">
        <v>9</v>
      </c>
      <c r="AL84" t="s">
        <v>107</v>
      </c>
      <c r="AM84" t="s">
        <v>116</v>
      </c>
      <c r="AN84">
        <v>75</v>
      </c>
      <c r="AO84">
        <v>91</v>
      </c>
      <c r="AP84">
        <v>79</v>
      </c>
      <c r="AQ84">
        <v>86</v>
      </c>
      <c r="AR84">
        <v>44</v>
      </c>
      <c r="AS84">
        <v>83</v>
      </c>
      <c r="AT84">
        <v>71</v>
      </c>
      <c r="AU84">
        <v>94</v>
      </c>
      <c r="AV84">
        <v>91</v>
      </c>
      <c r="AW84">
        <v>84</v>
      </c>
      <c r="AX84">
        <v>89</v>
      </c>
      <c r="AY84">
        <v>85</v>
      </c>
      <c r="AZ84">
        <v>79</v>
      </c>
      <c r="BA84">
        <v>85</v>
      </c>
      <c r="BB84">
        <v>70</v>
      </c>
      <c r="BC84">
        <v>89</v>
      </c>
      <c r="BD84">
        <v>76</v>
      </c>
      <c r="BE84">
        <v>75</v>
      </c>
      <c r="BF84">
        <v>77</v>
      </c>
      <c r="BG84">
        <v>93</v>
      </c>
      <c r="BH84">
        <v>82</v>
      </c>
      <c r="BI84">
        <v>91</v>
      </c>
      <c r="BJ84">
        <v>85</v>
      </c>
      <c r="BK84">
        <v>76</v>
      </c>
      <c r="BL84">
        <v>87</v>
      </c>
      <c r="BM84">
        <v>84</v>
      </c>
      <c r="BN84">
        <v>81</v>
      </c>
      <c r="BO84">
        <v>49</v>
      </c>
      <c r="BP84">
        <v>94</v>
      </c>
      <c r="BQ84">
        <v>81</v>
      </c>
      <c r="BR84">
        <v>90</v>
      </c>
      <c r="BS84">
        <v>88</v>
      </c>
      <c r="BT84">
        <v>35</v>
      </c>
      <c r="BU84">
        <v>42</v>
      </c>
      <c r="BV84">
        <v>19</v>
      </c>
      <c r="BW84">
        <v>15</v>
      </c>
      <c r="BX84">
        <v>6</v>
      </c>
      <c r="BY84">
        <v>12</v>
      </c>
      <c r="BZ84">
        <v>8</v>
      </c>
      <c r="CA84">
        <v>10</v>
      </c>
      <c r="CB84">
        <v>91</v>
      </c>
      <c r="CC84">
        <v>85</v>
      </c>
      <c r="CD84">
        <v>88</v>
      </c>
      <c r="CE84">
        <v>88</v>
      </c>
      <c r="CF84">
        <v>88</v>
      </c>
      <c r="CG84">
        <v>85</v>
      </c>
      <c r="CH84">
        <v>88</v>
      </c>
      <c r="CI84">
        <v>86</v>
      </c>
      <c r="CJ84">
        <v>83</v>
      </c>
      <c r="CK84">
        <v>86</v>
      </c>
      <c r="CL84">
        <v>67</v>
      </c>
      <c r="CM84">
        <v>69</v>
      </c>
      <c r="CN84">
        <v>67</v>
      </c>
      <c r="CO84">
        <v>64</v>
      </c>
      <c r="CP84">
        <v>63</v>
      </c>
      <c r="CQ84">
        <v>64</v>
      </c>
      <c r="CR84">
        <v>22</v>
      </c>
    </row>
    <row r="85" spans="1:96">
      <c r="A85">
        <v>84</v>
      </c>
      <c r="B85" t="s">
        <v>528</v>
      </c>
      <c r="C85" t="s">
        <v>519</v>
      </c>
      <c r="D85" t="s">
        <v>136</v>
      </c>
      <c r="E85" t="s">
        <v>153</v>
      </c>
      <c r="F85">
        <v>91</v>
      </c>
      <c r="G85">
        <v>40</v>
      </c>
      <c r="H85" t="s">
        <v>529</v>
      </c>
      <c r="I85" t="s">
        <v>528</v>
      </c>
      <c r="J85">
        <v>91</v>
      </c>
      <c r="K85">
        <v>91</v>
      </c>
      <c r="L85">
        <v>54000000</v>
      </c>
      <c r="M85" t="s">
        <v>136</v>
      </c>
      <c r="N85" t="s">
        <v>133</v>
      </c>
      <c r="O85" t="s">
        <v>287</v>
      </c>
      <c r="P85" t="s">
        <v>530</v>
      </c>
      <c r="Q85">
        <v>35</v>
      </c>
      <c r="R85">
        <v>169</v>
      </c>
      <c r="S85">
        <v>67</v>
      </c>
      <c r="T85">
        <v>2190</v>
      </c>
      <c r="U85">
        <v>452</v>
      </c>
      <c r="V85" t="s">
        <v>158</v>
      </c>
      <c r="W85">
        <v>195000</v>
      </c>
      <c r="X85">
        <v>99900000</v>
      </c>
      <c r="Y85" t="s">
        <v>136</v>
      </c>
      <c r="Z85">
        <v>2023</v>
      </c>
      <c r="AA85">
        <v>30</v>
      </c>
      <c r="AB85">
        <v>2021</v>
      </c>
      <c r="AC85" t="s">
        <v>103</v>
      </c>
      <c r="AD85" t="s">
        <v>137</v>
      </c>
      <c r="AE85">
        <v>4</v>
      </c>
      <c r="AF85">
        <v>4</v>
      </c>
      <c r="AG85">
        <v>5</v>
      </c>
      <c r="AH85" t="s">
        <v>287</v>
      </c>
      <c r="AI85" t="s">
        <v>289</v>
      </c>
      <c r="AJ85" t="s">
        <v>136</v>
      </c>
      <c r="AK85">
        <v>10</v>
      </c>
      <c r="AL85" t="s">
        <v>406</v>
      </c>
      <c r="AM85" t="s">
        <v>406</v>
      </c>
      <c r="AN85">
        <v>81</v>
      </c>
      <c r="AO85">
        <v>89</v>
      </c>
      <c r="AP85">
        <v>90</v>
      </c>
      <c r="AQ85">
        <v>94</v>
      </c>
      <c r="AR85">
        <v>34</v>
      </c>
      <c r="AS85">
        <v>64</v>
      </c>
      <c r="AT85">
        <v>84</v>
      </c>
      <c r="AU85">
        <v>90</v>
      </c>
      <c r="AV85">
        <v>70</v>
      </c>
      <c r="AW85">
        <v>91</v>
      </c>
      <c r="AX85">
        <v>88</v>
      </c>
      <c r="AY85">
        <v>95</v>
      </c>
      <c r="AZ85">
        <v>93</v>
      </c>
      <c r="BA85">
        <v>93</v>
      </c>
      <c r="BB85">
        <v>90</v>
      </c>
      <c r="BC85">
        <v>93</v>
      </c>
      <c r="BD85">
        <v>87</v>
      </c>
      <c r="BE85">
        <v>76</v>
      </c>
      <c r="BF85">
        <v>91</v>
      </c>
      <c r="BG85">
        <v>92</v>
      </c>
      <c r="BH85">
        <v>95</v>
      </c>
      <c r="BI85">
        <v>86</v>
      </c>
      <c r="BJ85">
        <v>68</v>
      </c>
      <c r="BK85">
        <v>70</v>
      </c>
      <c r="BL85">
        <v>68</v>
      </c>
      <c r="BM85">
        <v>91</v>
      </c>
      <c r="BN85">
        <v>44</v>
      </c>
      <c r="BO85">
        <v>40</v>
      </c>
      <c r="BP85">
        <v>93</v>
      </c>
      <c r="BQ85">
        <v>94</v>
      </c>
      <c r="BR85">
        <v>75</v>
      </c>
      <c r="BS85">
        <v>96</v>
      </c>
      <c r="BT85">
        <v>20</v>
      </c>
      <c r="BU85">
        <v>35</v>
      </c>
      <c r="BV85">
        <v>24</v>
      </c>
      <c r="BW85">
        <v>6</v>
      </c>
      <c r="BX85">
        <v>11</v>
      </c>
      <c r="BY85">
        <v>15</v>
      </c>
      <c r="BZ85">
        <v>14</v>
      </c>
      <c r="CA85">
        <v>8</v>
      </c>
      <c r="CB85">
        <v>90</v>
      </c>
      <c r="CC85">
        <v>90</v>
      </c>
      <c r="CD85">
        <v>91</v>
      </c>
      <c r="CE85">
        <v>91</v>
      </c>
      <c r="CF85">
        <v>91</v>
      </c>
      <c r="CG85">
        <v>90</v>
      </c>
      <c r="CH85">
        <v>91</v>
      </c>
      <c r="CI85">
        <v>91</v>
      </c>
      <c r="CJ85">
        <v>88</v>
      </c>
      <c r="CK85">
        <v>91</v>
      </c>
      <c r="CL85">
        <v>67</v>
      </c>
      <c r="CM85">
        <v>66</v>
      </c>
      <c r="CN85">
        <v>67</v>
      </c>
      <c r="CO85">
        <v>62</v>
      </c>
      <c r="CP85">
        <v>53</v>
      </c>
      <c r="CQ85">
        <v>62</v>
      </c>
      <c r="CR85">
        <v>22</v>
      </c>
    </row>
    <row r="86" spans="1:96">
      <c r="A86">
        <v>85</v>
      </c>
      <c r="B86" t="s">
        <v>531</v>
      </c>
      <c r="C86" t="s">
        <v>519</v>
      </c>
      <c r="D86" t="s">
        <v>532</v>
      </c>
      <c r="E86" t="s">
        <v>178</v>
      </c>
      <c r="F86">
        <v>91</v>
      </c>
      <c r="G86">
        <v>40</v>
      </c>
      <c r="H86" t="s">
        <v>533</v>
      </c>
      <c r="I86" t="s">
        <v>531</v>
      </c>
      <c r="J86">
        <v>91</v>
      </c>
      <c r="K86">
        <v>91</v>
      </c>
      <c r="L86">
        <v>64000000</v>
      </c>
      <c r="M86" t="s">
        <v>534</v>
      </c>
      <c r="N86" t="s">
        <v>532</v>
      </c>
      <c r="O86" t="s">
        <v>319</v>
      </c>
      <c r="P86" t="s">
        <v>535</v>
      </c>
      <c r="Q86">
        <v>34</v>
      </c>
      <c r="R86">
        <v>185</v>
      </c>
      <c r="S86">
        <v>81</v>
      </c>
      <c r="T86">
        <v>2147</v>
      </c>
      <c r="U86">
        <v>455</v>
      </c>
      <c r="V86" t="s">
        <v>123</v>
      </c>
      <c r="W86">
        <v>450000</v>
      </c>
      <c r="X86">
        <v>131199999</v>
      </c>
      <c r="Y86" t="s">
        <v>532</v>
      </c>
      <c r="Z86">
        <v>2023</v>
      </c>
      <c r="AA86">
        <v>9</v>
      </c>
      <c r="AB86">
        <v>2009</v>
      </c>
      <c r="AC86" t="s">
        <v>103</v>
      </c>
      <c r="AD86" t="s">
        <v>104</v>
      </c>
      <c r="AE86">
        <v>4</v>
      </c>
      <c r="AF86">
        <v>4</v>
      </c>
      <c r="AG86">
        <v>4</v>
      </c>
      <c r="AH86" t="s">
        <v>319</v>
      </c>
      <c r="AI86" t="s">
        <v>321</v>
      </c>
      <c r="AJ86" t="s">
        <v>520</v>
      </c>
      <c r="AK86">
        <v>19</v>
      </c>
      <c r="AL86" t="s">
        <v>116</v>
      </c>
      <c r="AM86" t="s">
        <v>116</v>
      </c>
      <c r="AN86">
        <v>80</v>
      </c>
      <c r="AO86">
        <v>88</v>
      </c>
      <c r="AP86">
        <v>83</v>
      </c>
      <c r="AQ86">
        <v>87</v>
      </c>
      <c r="AR86">
        <v>39</v>
      </c>
      <c r="AS86">
        <v>78</v>
      </c>
      <c r="AT86">
        <v>75</v>
      </c>
      <c r="AU86">
        <v>92</v>
      </c>
      <c r="AV86">
        <v>90</v>
      </c>
      <c r="AW86">
        <v>89</v>
      </c>
      <c r="AX86">
        <v>88</v>
      </c>
      <c r="AY86">
        <v>87</v>
      </c>
      <c r="AZ86">
        <v>82</v>
      </c>
      <c r="BA86">
        <v>73</v>
      </c>
      <c r="BB86">
        <v>76</v>
      </c>
      <c r="BC86">
        <v>91</v>
      </c>
      <c r="BD86">
        <v>79</v>
      </c>
      <c r="BE86">
        <v>80</v>
      </c>
      <c r="BF86">
        <v>78</v>
      </c>
      <c r="BG86">
        <v>92</v>
      </c>
      <c r="BH86">
        <v>72</v>
      </c>
      <c r="BI86">
        <v>87</v>
      </c>
      <c r="BJ86">
        <v>79</v>
      </c>
      <c r="BK86">
        <v>82</v>
      </c>
      <c r="BL86">
        <v>82</v>
      </c>
      <c r="BM86">
        <v>80</v>
      </c>
      <c r="BN86">
        <v>63</v>
      </c>
      <c r="BO86">
        <v>39</v>
      </c>
      <c r="BP86">
        <v>92</v>
      </c>
      <c r="BQ86">
        <v>89</v>
      </c>
      <c r="BR86">
        <v>84</v>
      </c>
      <c r="BS86">
        <v>90</v>
      </c>
      <c r="BT86">
        <v>43</v>
      </c>
      <c r="BU86">
        <v>24</v>
      </c>
      <c r="BV86">
        <v>18</v>
      </c>
      <c r="BW86">
        <v>13</v>
      </c>
      <c r="BX86">
        <v>11</v>
      </c>
      <c r="BY86">
        <v>5</v>
      </c>
      <c r="BZ86">
        <v>5</v>
      </c>
      <c r="CA86">
        <v>7</v>
      </c>
      <c r="CB86">
        <v>91</v>
      </c>
      <c r="CC86">
        <v>87</v>
      </c>
      <c r="CD86">
        <v>89</v>
      </c>
      <c r="CE86">
        <v>89</v>
      </c>
      <c r="CF86">
        <v>89</v>
      </c>
      <c r="CG86">
        <v>87</v>
      </c>
      <c r="CH86">
        <v>91</v>
      </c>
      <c r="CI86">
        <v>89</v>
      </c>
      <c r="CJ86">
        <v>84</v>
      </c>
      <c r="CK86">
        <v>89</v>
      </c>
      <c r="CL86">
        <v>67</v>
      </c>
      <c r="CM86">
        <v>67</v>
      </c>
      <c r="CN86">
        <v>67</v>
      </c>
      <c r="CO86">
        <v>63</v>
      </c>
      <c r="CP86">
        <v>58</v>
      </c>
      <c r="CQ86">
        <v>63</v>
      </c>
      <c r="CR86">
        <v>21</v>
      </c>
    </row>
    <row r="87" spans="1:96">
      <c r="A87">
        <v>86</v>
      </c>
      <c r="B87" t="s">
        <v>536</v>
      </c>
      <c r="C87" t="s">
        <v>519</v>
      </c>
      <c r="D87" t="s">
        <v>136</v>
      </c>
      <c r="E87" t="s">
        <v>182</v>
      </c>
      <c r="F87">
        <v>89</v>
      </c>
      <c r="G87">
        <v>40</v>
      </c>
      <c r="H87" t="s">
        <v>537</v>
      </c>
      <c r="I87" t="s">
        <v>536</v>
      </c>
      <c r="J87">
        <v>90</v>
      </c>
      <c r="K87">
        <v>90</v>
      </c>
      <c r="L87">
        <v>115500000</v>
      </c>
      <c r="M87" t="s">
        <v>136</v>
      </c>
      <c r="N87" t="s">
        <v>136</v>
      </c>
      <c r="O87" t="s">
        <v>538</v>
      </c>
      <c r="P87" t="s">
        <v>539</v>
      </c>
      <c r="Q87">
        <v>30</v>
      </c>
      <c r="R87">
        <v>175</v>
      </c>
      <c r="S87">
        <v>71</v>
      </c>
      <c r="T87">
        <v>2226</v>
      </c>
      <c r="U87">
        <v>471</v>
      </c>
      <c r="V87" t="s">
        <v>182</v>
      </c>
      <c r="W87">
        <v>270000</v>
      </c>
      <c r="X87">
        <v>213700000</v>
      </c>
      <c r="Y87" t="s">
        <v>136</v>
      </c>
      <c r="Z87">
        <v>2023</v>
      </c>
      <c r="AA87">
        <v>11</v>
      </c>
      <c r="AB87">
        <v>2017</v>
      </c>
      <c r="AC87" t="s">
        <v>103</v>
      </c>
      <c r="AD87" t="s">
        <v>137</v>
      </c>
      <c r="AE87">
        <v>3</v>
      </c>
      <c r="AF87">
        <v>4</v>
      </c>
      <c r="AG87">
        <v>4</v>
      </c>
      <c r="AH87" t="s">
        <v>103</v>
      </c>
      <c r="AI87" t="s">
        <v>103</v>
      </c>
      <c r="AJ87" t="s">
        <v>103</v>
      </c>
      <c r="AK87" t="s">
        <v>103</v>
      </c>
      <c r="AL87" t="s">
        <v>107</v>
      </c>
      <c r="AM87" t="s">
        <v>116</v>
      </c>
      <c r="AN87">
        <v>90</v>
      </c>
      <c r="AO87">
        <v>89</v>
      </c>
      <c r="AP87">
        <v>82</v>
      </c>
      <c r="AQ87">
        <v>90</v>
      </c>
      <c r="AR87">
        <v>45</v>
      </c>
      <c r="AS87">
        <v>75</v>
      </c>
      <c r="AT87">
        <v>80</v>
      </c>
      <c r="AU87">
        <v>93</v>
      </c>
      <c r="AV87">
        <v>59</v>
      </c>
      <c r="AW87">
        <v>84</v>
      </c>
      <c r="AX87">
        <v>84</v>
      </c>
      <c r="AY87">
        <v>90</v>
      </c>
      <c r="AZ87">
        <v>84</v>
      </c>
      <c r="BA87">
        <v>69</v>
      </c>
      <c r="BB87">
        <v>77</v>
      </c>
      <c r="BC87">
        <v>88</v>
      </c>
      <c r="BD87">
        <v>89</v>
      </c>
      <c r="BE87">
        <v>91</v>
      </c>
      <c r="BF87">
        <v>90</v>
      </c>
      <c r="BG87">
        <v>93</v>
      </c>
      <c r="BH87">
        <v>91</v>
      </c>
      <c r="BI87">
        <v>83</v>
      </c>
      <c r="BJ87">
        <v>69</v>
      </c>
      <c r="BK87">
        <v>87</v>
      </c>
      <c r="BL87">
        <v>75</v>
      </c>
      <c r="BM87">
        <v>85</v>
      </c>
      <c r="BN87">
        <v>63</v>
      </c>
      <c r="BO87">
        <v>55</v>
      </c>
      <c r="BP87">
        <v>92</v>
      </c>
      <c r="BQ87">
        <v>85</v>
      </c>
      <c r="BR87">
        <v>86</v>
      </c>
      <c r="BS87">
        <v>92</v>
      </c>
      <c r="BT87">
        <v>38</v>
      </c>
      <c r="BU87">
        <v>43</v>
      </c>
      <c r="BV87">
        <v>41</v>
      </c>
      <c r="BW87">
        <v>14</v>
      </c>
      <c r="BX87">
        <v>14</v>
      </c>
      <c r="BY87">
        <v>9</v>
      </c>
      <c r="BZ87">
        <v>11</v>
      </c>
      <c r="CA87">
        <v>14</v>
      </c>
      <c r="CB87">
        <v>89</v>
      </c>
      <c r="CC87">
        <v>88</v>
      </c>
      <c r="CD87">
        <v>88</v>
      </c>
      <c r="CE87">
        <v>88</v>
      </c>
      <c r="CF87">
        <v>88</v>
      </c>
      <c r="CG87">
        <v>88</v>
      </c>
      <c r="CH87">
        <v>90</v>
      </c>
      <c r="CI87">
        <v>90</v>
      </c>
      <c r="CJ87">
        <v>85</v>
      </c>
      <c r="CK87">
        <v>90</v>
      </c>
      <c r="CL87">
        <v>74</v>
      </c>
      <c r="CM87">
        <v>71</v>
      </c>
      <c r="CN87">
        <v>74</v>
      </c>
      <c r="CO87">
        <v>70</v>
      </c>
      <c r="CP87">
        <v>61</v>
      </c>
      <c r="CQ87">
        <v>70</v>
      </c>
      <c r="CR87">
        <v>25</v>
      </c>
    </row>
    <row r="88" spans="1:96">
      <c r="A88">
        <v>87</v>
      </c>
      <c r="B88" t="s">
        <v>540</v>
      </c>
      <c r="C88" t="s">
        <v>519</v>
      </c>
      <c r="D88" t="s">
        <v>520</v>
      </c>
      <c r="E88" t="s">
        <v>275</v>
      </c>
      <c r="F88">
        <v>89</v>
      </c>
      <c r="G88">
        <v>40</v>
      </c>
      <c r="H88" t="s">
        <v>541</v>
      </c>
      <c r="I88" t="s">
        <v>540</v>
      </c>
      <c r="J88">
        <v>89</v>
      </c>
      <c r="K88">
        <v>89</v>
      </c>
      <c r="L88">
        <v>105500000</v>
      </c>
      <c r="M88" t="s">
        <v>520</v>
      </c>
      <c r="N88" t="s">
        <v>520</v>
      </c>
      <c r="O88" t="s">
        <v>167</v>
      </c>
      <c r="P88" t="s">
        <v>542</v>
      </c>
      <c r="Q88">
        <v>28</v>
      </c>
      <c r="R88">
        <v>188</v>
      </c>
      <c r="S88">
        <v>89</v>
      </c>
      <c r="T88">
        <v>2193</v>
      </c>
      <c r="U88">
        <v>453</v>
      </c>
      <c r="V88" t="s">
        <v>280</v>
      </c>
      <c r="W88">
        <v>240000</v>
      </c>
      <c r="X88">
        <v>200500000</v>
      </c>
      <c r="Y88" t="s">
        <v>520</v>
      </c>
      <c r="Z88">
        <v>2024</v>
      </c>
      <c r="AA88">
        <v>10</v>
      </c>
      <c r="AB88">
        <v>2010</v>
      </c>
      <c r="AC88" t="s">
        <v>103</v>
      </c>
      <c r="AD88" t="s">
        <v>104</v>
      </c>
      <c r="AE88">
        <v>5</v>
      </c>
      <c r="AF88">
        <v>3</v>
      </c>
      <c r="AG88">
        <v>4</v>
      </c>
      <c r="AH88" t="s">
        <v>167</v>
      </c>
      <c r="AI88" t="s">
        <v>170</v>
      </c>
      <c r="AJ88" t="s">
        <v>520</v>
      </c>
      <c r="AK88">
        <v>9</v>
      </c>
      <c r="AL88" t="s">
        <v>107</v>
      </c>
      <c r="AM88" t="s">
        <v>107</v>
      </c>
      <c r="AN88">
        <v>68</v>
      </c>
      <c r="AO88">
        <v>91</v>
      </c>
      <c r="AP88">
        <v>83</v>
      </c>
      <c r="AQ88">
        <v>82</v>
      </c>
      <c r="AR88">
        <v>47</v>
      </c>
      <c r="AS88">
        <v>82</v>
      </c>
      <c r="AT88">
        <v>80</v>
      </c>
      <c r="AU88">
        <v>93</v>
      </c>
      <c r="AV88">
        <v>85</v>
      </c>
      <c r="AW88">
        <v>84</v>
      </c>
      <c r="AX88">
        <v>87</v>
      </c>
      <c r="AY88">
        <v>83</v>
      </c>
      <c r="AZ88">
        <v>82</v>
      </c>
      <c r="BA88">
        <v>65</v>
      </c>
      <c r="BB88">
        <v>85</v>
      </c>
      <c r="BC88">
        <v>84</v>
      </c>
      <c r="BD88">
        <v>67</v>
      </c>
      <c r="BE88">
        <v>69</v>
      </c>
      <c r="BF88">
        <v>68</v>
      </c>
      <c r="BG88">
        <v>92</v>
      </c>
      <c r="BH88">
        <v>71</v>
      </c>
      <c r="BI88">
        <v>92</v>
      </c>
      <c r="BJ88">
        <v>79</v>
      </c>
      <c r="BK88">
        <v>83</v>
      </c>
      <c r="BL88">
        <v>83</v>
      </c>
      <c r="BM88">
        <v>86</v>
      </c>
      <c r="BN88">
        <v>80</v>
      </c>
      <c r="BO88">
        <v>44</v>
      </c>
      <c r="BP88">
        <v>94</v>
      </c>
      <c r="BQ88">
        <v>87</v>
      </c>
      <c r="BR88">
        <v>92</v>
      </c>
      <c r="BS88">
        <v>92</v>
      </c>
      <c r="BT88">
        <v>50</v>
      </c>
      <c r="BU88">
        <v>36</v>
      </c>
      <c r="BV88">
        <v>38</v>
      </c>
      <c r="BW88">
        <v>8</v>
      </c>
      <c r="BX88">
        <v>10</v>
      </c>
      <c r="BY88">
        <v>11</v>
      </c>
      <c r="BZ88">
        <v>14</v>
      </c>
      <c r="CA88">
        <v>11</v>
      </c>
      <c r="CB88">
        <v>89</v>
      </c>
      <c r="CC88">
        <v>84</v>
      </c>
      <c r="CD88">
        <v>86</v>
      </c>
      <c r="CE88">
        <v>86</v>
      </c>
      <c r="CF88">
        <v>86</v>
      </c>
      <c r="CG88">
        <v>84</v>
      </c>
      <c r="CH88">
        <v>88</v>
      </c>
      <c r="CI88">
        <v>86</v>
      </c>
      <c r="CJ88">
        <v>84</v>
      </c>
      <c r="CK88">
        <v>86</v>
      </c>
      <c r="CL88">
        <v>69</v>
      </c>
      <c r="CM88">
        <v>71</v>
      </c>
      <c r="CN88">
        <v>69</v>
      </c>
      <c r="CO88">
        <v>66</v>
      </c>
      <c r="CP88">
        <v>64</v>
      </c>
      <c r="CQ88">
        <v>66</v>
      </c>
      <c r="CR88">
        <v>23</v>
      </c>
    </row>
    <row r="89" spans="1:96">
      <c r="A89">
        <v>88</v>
      </c>
      <c r="B89" t="s">
        <v>543</v>
      </c>
      <c r="C89" t="s">
        <v>519</v>
      </c>
      <c r="D89" t="s">
        <v>520</v>
      </c>
      <c r="E89" t="s">
        <v>98</v>
      </c>
      <c r="F89">
        <v>89</v>
      </c>
      <c r="G89">
        <v>40</v>
      </c>
      <c r="H89" t="s">
        <v>544</v>
      </c>
      <c r="I89" t="s">
        <v>543</v>
      </c>
      <c r="J89">
        <v>88</v>
      </c>
      <c r="K89">
        <v>94</v>
      </c>
      <c r="L89">
        <v>148000000</v>
      </c>
      <c r="M89" t="s">
        <v>520</v>
      </c>
      <c r="N89" t="s">
        <v>520</v>
      </c>
      <c r="O89" t="s">
        <v>227</v>
      </c>
      <c r="P89" t="s">
        <v>545</v>
      </c>
      <c r="Q89">
        <v>21</v>
      </c>
      <c r="R89">
        <v>195</v>
      </c>
      <c r="S89">
        <v>94</v>
      </c>
      <c r="T89">
        <v>2120</v>
      </c>
      <c r="U89">
        <v>461</v>
      </c>
      <c r="V89" t="s">
        <v>98</v>
      </c>
      <c r="W89">
        <v>220000</v>
      </c>
      <c r="X89">
        <v>303400000</v>
      </c>
      <c r="Y89" t="s">
        <v>520</v>
      </c>
      <c r="Z89">
        <v>2027</v>
      </c>
      <c r="AA89">
        <v>9</v>
      </c>
      <c r="AB89">
        <v>2022</v>
      </c>
      <c r="AC89" t="s">
        <v>103</v>
      </c>
      <c r="AD89" t="s">
        <v>137</v>
      </c>
      <c r="AE89">
        <v>3</v>
      </c>
      <c r="AF89">
        <v>3</v>
      </c>
      <c r="AG89">
        <v>4</v>
      </c>
      <c r="AH89" t="s">
        <v>227</v>
      </c>
      <c r="AI89" t="s">
        <v>229</v>
      </c>
      <c r="AJ89" t="s">
        <v>520</v>
      </c>
      <c r="AK89">
        <v>9</v>
      </c>
      <c r="AL89" t="s">
        <v>107</v>
      </c>
      <c r="AM89" t="s">
        <v>116</v>
      </c>
      <c r="AN89">
        <v>89</v>
      </c>
      <c r="AO89">
        <v>91</v>
      </c>
      <c r="AP89">
        <v>65</v>
      </c>
      <c r="AQ89">
        <v>80</v>
      </c>
      <c r="AR89">
        <v>49</v>
      </c>
      <c r="AS89">
        <v>87</v>
      </c>
      <c r="AT89">
        <v>47</v>
      </c>
      <c r="AU89">
        <v>94</v>
      </c>
      <c r="AV89">
        <v>79</v>
      </c>
      <c r="AW89">
        <v>74</v>
      </c>
      <c r="AX89">
        <v>88</v>
      </c>
      <c r="AY89">
        <v>78</v>
      </c>
      <c r="AZ89">
        <v>77</v>
      </c>
      <c r="BA89">
        <v>62</v>
      </c>
      <c r="BB89">
        <v>53</v>
      </c>
      <c r="BC89">
        <v>82</v>
      </c>
      <c r="BD89">
        <v>82</v>
      </c>
      <c r="BE89">
        <v>94</v>
      </c>
      <c r="BF89">
        <v>76</v>
      </c>
      <c r="BG89">
        <v>88</v>
      </c>
      <c r="BH89">
        <v>72</v>
      </c>
      <c r="BI89">
        <v>94</v>
      </c>
      <c r="BJ89">
        <v>74</v>
      </c>
      <c r="BK89">
        <v>81</v>
      </c>
      <c r="BL89">
        <v>93</v>
      </c>
      <c r="BM89">
        <v>87</v>
      </c>
      <c r="BN89">
        <v>85</v>
      </c>
      <c r="BO89">
        <v>43</v>
      </c>
      <c r="BP89">
        <v>89</v>
      </c>
      <c r="BQ89">
        <v>74</v>
      </c>
      <c r="BR89">
        <v>76</v>
      </c>
      <c r="BS89">
        <v>85</v>
      </c>
      <c r="BT89">
        <v>44</v>
      </c>
      <c r="BU89">
        <v>53</v>
      </c>
      <c r="BV89">
        <v>29</v>
      </c>
      <c r="BW89">
        <v>7</v>
      </c>
      <c r="BX89">
        <v>14</v>
      </c>
      <c r="BY89">
        <v>13</v>
      </c>
      <c r="BZ89">
        <v>11</v>
      </c>
      <c r="CA89">
        <v>7</v>
      </c>
      <c r="CB89">
        <v>90</v>
      </c>
      <c r="CC89">
        <v>80</v>
      </c>
      <c r="CD89">
        <v>84</v>
      </c>
      <c r="CE89">
        <v>84</v>
      </c>
      <c r="CF89">
        <v>84</v>
      </c>
      <c r="CG89">
        <v>80</v>
      </c>
      <c r="CH89">
        <v>83</v>
      </c>
      <c r="CI89">
        <v>80</v>
      </c>
      <c r="CJ89">
        <v>76</v>
      </c>
      <c r="CK89">
        <v>80</v>
      </c>
      <c r="CL89">
        <v>65</v>
      </c>
      <c r="CM89">
        <v>67</v>
      </c>
      <c r="CN89">
        <v>65</v>
      </c>
      <c r="CO89">
        <v>64</v>
      </c>
      <c r="CP89">
        <v>65</v>
      </c>
      <c r="CQ89">
        <v>64</v>
      </c>
      <c r="CR89">
        <v>22</v>
      </c>
    </row>
    <row r="90" spans="1:96">
      <c r="A90">
        <v>89</v>
      </c>
      <c r="B90" t="s">
        <v>546</v>
      </c>
      <c r="C90" t="s">
        <v>519</v>
      </c>
      <c r="D90" t="s">
        <v>311</v>
      </c>
      <c r="E90" t="s">
        <v>153</v>
      </c>
      <c r="F90">
        <v>89</v>
      </c>
      <c r="G90">
        <v>40</v>
      </c>
      <c r="H90" t="s">
        <v>547</v>
      </c>
      <c r="I90" t="s">
        <v>548</v>
      </c>
      <c r="J90">
        <v>89</v>
      </c>
      <c r="K90">
        <v>89</v>
      </c>
      <c r="L90">
        <v>99500000</v>
      </c>
      <c r="M90" t="s">
        <v>311</v>
      </c>
      <c r="N90" t="s">
        <v>311</v>
      </c>
      <c r="O90" t="s">
        <v>112</v>
      </c>
      <c r="P90" t="s">
        <v>549</v>
      </c>
      <c r="Q90">
        <v>30</v>
      </c>
      <c r="R90">
        <v>175</v>
      </c>
      <c r="S90">
        <v>68</v>
      </c>
      <c r="T90">
        <v>2157</v>
      </c>
      <c r="U90">
        <v>446</v>
      </c>
      <c r="V90" t="s">
        <v>158</v>
      </c>
      <c r="W90">
        <v>200000</v>
      </c>
      <c r="X90">
        <v>184100000</v>
      </c>
      <c r="Y90" t="s">
        <v>311</v>
      </c>
      <c r="Z90">
        <v>2025</v>
      </c>
      <c r="AA90">
        <v>10</v>
      </c>
      <c r="AB90">
        <v>2017</v>
      </c>
      <c r="AC90" t="s">
        <v>103</v>
      </c>
      <c r="AD90" t="s">
        <v>104</v>
      </c>
      <c r="AE90">
        <v>5</v>
      </c>
      <c r="AF90">
        <v>5</v>
      </c>
      <c r="AG90">
        <v>5</v>
      </c>
      <c r="AH90" t="s">
        <v>103</v>
      </c>
      <c r="AI90" t="s">
        <v>115</v>
      </c>
      <c r="AJ90" t="s">
        <v>103</v>
      </c>
      <c r="AK90" t="s">
        <v>103</v>
      </c>
      <c r="AL90" t="s">
        <v>107</v>
      </c>
      <c r="AM90" t="s">
        <v>116</v>
      </c>
      <c r="AN90">
        <v>87</v>
      </c>
      <c r="AO90">
        <v>83</v>
      </c>
      <c r="AP90">
        <v>85</v>
      </c>
      <c r="AQ90">
        <v>93</v>
      </c>
      <c r="AR90">
        <v>37</v>
      </c>
      <c r="AS90">
        <v>61</v>
      </c>
      <c r="AT90">
        <v>84</v>
      </c>
      <c r="AU90">
        <v>83</v>
      </c>
      <c r="AV90">
        <v>63</v>
      </c>
      <c r="AW90">
        <v>85</v>
      </c>
      <c r="AX90">
        <v>86</v>
      </c>
      <c r="AY90">
        <v>95</v>
      </c>
      <c r="AZ90">
        <v>88</v>
      </c>
      <c r="BA90">
        <v>87</v>
      </c>
      <c r="BB90">
        <v>81</v>
      </c>
      <c r="BC90">
        <v>94</v>
      </c>
      <c r="BD90">
        <v>88</v>
      </c>
      <c r="BE90">
        <v>86</v>
      </c>
      <c r="BF90">
        <v>93</v>
      </c>
      <c r="BG90">
        <v>88</v>
      </c>
      <c r="BH90">
        <v>82</v>
      </c>
      <c r="BI90">
        <v>79</v>
      </c>
      <c r="BJ90">
        <v>62</v>
      </c>
      <c r="BK90">
        <v>79</v>
      </c>
      <c r="BL90">
        <v>52</v>
      </c>
      <c r="BM90">
        <v>81</v>
      </c>
      <c r="BN90">
        <v>63</v>
      </c>
      <c r="BO90">
        <v>37</v>
      </c>
      <c r="BP90">
        <v>86</v>
      </c>
      <c r="BQ90">
        <v>89</v>
      </c>
      <c r="BR90">
        <v>91</v>
      </c>
      <c r="BS90">
        <v>93</v>
      </c>
      <c r="BT90">
        <v>35</v>
      </c>
      <c r="BU90">
        <v>32</v>
      </c>
      <c r="BV90">
        <v>29</v>
      </c>
      <c r="BW90">
        <v>9</v>
      </c>
      <c r="BX90">
        <v>9</v>
      </c>
      <c r="BY90">
        <v>15</v>
      </c>
      <c r="BZ90">
        <v>15</v>
      </c>
      <c r="CA90">
        <v>11</v>
      </c>
      <c r="CB90">
        <v>85</v>
      </c>
      <c r="CC90">
        <v>88</v>
      </c>
      <c r="CD90">
        <v>88</v>
      </c>
      <c r="CE90">
        <v>88</v>
      </c>
      <c r="CF90">
        <v>88</v>
      </c>
      <c r="CG90">
        <v>88</v>
      </c>
      <c r="CH90">
        <v>89</v>
      </c>
      <c r="CI90">
        <v>89</v>
      </c>
      <c r="CJ90">
        <v>85</v>
      </c>
      <c r="CK90">
        <v>89</v>
      </c>
      <c r="CL90">
        <v>69</v>
      </c>
      <c r="CM90">
        <v>66</v>
      </c>
      <c r="CN90">
        <v>69</v>
      </c>
      <c r="CO90">
        <v>64</v>
      </c>
      <c r="CP90">
        <v>53</v>
      </c>
      <c r="CQ90">
        <v>64</v>
      </c>
      <c r="CR90">
        <v>23</v>
      </c>
    </row>
    <row r="91" spans="1:96">
      <c r="A91">
        <v>90</v>
      </c>
      <c r="B91" t="s">
        <v>550</v>
      </c>
      <c r="C91" t="s">
        <v>519</v>
      </c>
      <c r="D91" t="s">
        <v>532</v>
      </c>
      <c r="E91" t="s">
        <v>189</v>
      </c>
      <c r="F91">
        <v>89</v>
      </c>
      <c r="G91">
        <v>40</v>
      </c>
      <c r="H91" t="s">
        <v>551</v>
      </c>
      <c r="I91" t="s">
        <v>552</v>
      </c>
      <c r="J91">
        <v>89</v>
      </c>
      <c r="K91">
        <v>89</v>
      </c>
      <c r="L91">
        <v>99500000</v>
      </c>
      <c r="M91" t="s">
        <v>553</v>
      </c>
      <c r="N91" t="s">
        <v>291</v>
      </c>
      <c r="O91" t="s">
        <v>554</v>
      </c>
      <c r="P91" t="s">
        <v>555</v>
      </c>
      <c r="Q91">
        <v>30</v>
      </c>
      <c r="R91">
        <v>174</v>
      </c>
      <c r="S91">
        <v>69</v>
      </c>
      <c r="T91">
        <v>2188</v>
      </c>
      <c r="U91">
        <v>462</v>
      </c>
      <c r="V91" t="s">
        <v>151</v>
      </c>
      <c r="W91">
        <v>145000</v>
      </c>
      <c r="X91">
        <v>164200000</v>
      </c>
      <c r="Y91" t="s">
        <v>520</v>
      </c>
      <c r="Z91">
        <v>2025</v>
      </c>
      <c r="AA91">
        <v>17</v>
      </c>
      <c r="AB91">
        <v>2022</v>
      </c>
      <c r="AC91" t="s">
        <v>103</v>
      </c>
      <c r="AD91" t="s">
        <v>104</v>
      </c>
      <c r="AE91">
        <v>4</v>
      </c>
      <c r="AF91">
        <v>4</v>
      </c>
      <c r="AG91">
        <v>4</v>
      </c>
      <c r="AH91" t="s">
        <v>103</v>
      </c>
      <c r="AI91" t="s">
        <v>103</v>
      </c>
      <c r="AJ91" t="s">
        <v>103</v>
      </c>
      <c r="AK91" t="s">
        <v>103</v>
      </c>
      <c r="AL91" t="s">
        <v>107</v>
      </c>
      <c r="AM91" t="s">
        <v>116</v>
      </c>
      <c r="AN91">
        <v>90</v>
      </c>
      <c r="AO91">
        <v>83</v>
      </c>
      <c r="AP91">
        <v>80</v>
      </c>
      <c r="AQ91">
        <v>88</v>
      </c>
      <c r="AR91">
        <v>44</v>
      </c>
      <c r="AS91">
        <v>77</v>
      </c>
      <c r="AT91">
        <v>78</v>
      </c>
      <c r="AU91">
        <v>86</v>
      </c>
      <c r="AV91">
        <v>84</v>
      </c>
      <c r="AW91">
        <v>84</v>
      </c>
      <c r="AX91">
        <v>75</v>
      </c>
      <c r="AY91">
        <v>88</v>
      </c>
      <c r="AZ91">
        <v>77</v>
      </c>
      <c r="BA91">
        <v>64</v>
      </c>
      <c r="BB91">
        <v>71</v>
      </c>
      <c r="BC91">
        <v>86</v>
      </c>
      <c r="BD91">
        <v>91</v>
      </c>
      <c r="BE91">
        <v>90</v>
      </c>
      <c r="BF91">
        <v>93</v>
      </c>
      <c r="BG91">
        <v>91</v>
      </c>
      <c r="BH91">
        <v>88</v>
      </c>
      <c r="BI91">
        <v>83</v>
      </c>
      <c r="BJ91">
        <v>87</v>
      </c>
      <c r="BK91">
        <v>85</v>
      </c>
      <c r="BL91">
        <v>72</v>
      </c>
      <c r="BM91">
        <v>78</v>
      </c>
      <c r="BN91">
        <v>75</v>
      </c>
      <c r="BO91">
        <v>35</v>
      </c>
      <c r="BP91">
        <v>90</v>
      </c>
      <c r="BQ91">
        <v>84</v>
      </c>
      <c r="BR91">
        <v>75</v>
      </c>
      <c r="BS91">
        <v>84</v>
      </c>
      <c r="BT91">
        <v>42</v>
      </c>
      <c r="BU91">
        <v>42</v>
      </c>
      <c r="BV91">
        <v>38</v>
      </c>
      <c r="BW91">
        <v>10</v>
      </c>
      <c r="BX91">
        <v>10</v>
      </c>
      <c r="BY91">
        <v>15</v>
      </c>
      <c r="BZ91">
        <v>7</v>
      </c>
      <c r="CA91">
        <v>14</v>
      </c>
      <c r="CB91">
        <v>89</v>
      </c>
      <c r="CC91">
        <v>86</v>
      </c>
      <c r="CD91">
        <v>87</v>
      </c>
      <c r="CE91">
        <v>87</v>
      </c>
      <c r="CF91">
        <v>87</v>
      </c>
      <c r="CG91">
        <v>86</v>
      </c>
      <c r="CH91">
        <v>89</v>
      </c>
      <c r="CI91">
        <v>89</v>
      </c>
      <c r="CJ91">
        <v>82</v>
      </c>
      <c r="CK91">
        <v>89</v>
      </c>
      <c r="CL91">
        <v>71</v>
      </c>
      <c r="CM91">
        <v>68</v>
      </c>
      <c r="CN91">
        <v>71</v>
      </c>
      <c r="CO91">
        <v>68</v>
      </c>
      <c r="CP91">
        <v>62</v>
      </c>
      <c r="CQ91">
        <v>68</v>
      </c>
      <c r="CR91">
        <v>22</v>
      </c>
    </row>
    <row r="92" spans="1:96">
      <c r="A92">
        <v>91</v>
      </c>
      <c r="B92" t="s">
        <v>556</v>
      </c>
      <c r="C92" t="s">
        <v>519</v>
      </c>
      <c r="D92" t="s">
        <v>311</v>
      </c>
      <c r="E92" t="s">
        <v>275</v>
      </c>
      <c r="F92">
        <v>88</v>
      </c>
      <c r="G92">
        <v>40</v>
      </c>
      <c r="H92" t="s">
        <v>557</v>
      </c>
      <c r="I92" t="s">
        <v>558</v>
      </c>
      <c r="J92">
        <v>89</v>
      </c>
      <c r="K92">
        <v>89</v>
      </c>
      <c r="L92">
        <v>101000000</v>
      </c>
      <c r="M92" t="s">
        <v>559</v>
      </c>
      <c r="N92" t="s">
        <v>311</v>
      </c>
      <c r="O92" t="s">
        <v>560</v>
      </c>
      <c r="P92" t="s">
        <v>561</v>
      </c>
      <c r="Q92">
        <v>29</v>
      </c>
      <c r="R92">
        <v>183</v>
      </c>
      <c r="S92">
        <v>78</v>
      </c>
      <c r="T92">
        <v>2141</v>
      </c>
      <c r="U92">
        <v>456</v>
      </c>
      <c r="V92" t="s">
        <v>280</v>
      </c>
      <c r="W92">
        <v>240000</v>
      </c>
      <c r="X92">
        <v>191900000</v>
      </c>
      <c r="Y92" t="s">
        <v>311</v>
      </c>
      <c r="Z92">
        <v>2025</v>
      </c>
      <c r="AA92">
        <v>7</v>
      </c>
      <c r="AB92">
        <v>2015</v>
      </c>
      <c r="AC92" t="s">
        <v>103</v>
      </c>
      <c r="AD92" t="s">
        <v>104</v>
      </c>
      <c r="AE92">
        <v>5</v>
      </c>
      <c r="AF92">
        <v>4</v>
      </c>
      <c r="AG92">
        <v>4</v>
      </c>
      <c r="AH92" t="s">
        <v>103</v>
      </c>
      <c r="AI92" t="s">
        <v>103</v>
      </c>
      <c r="AJ92" t="s">
        <v>103</v>
      </c>
      <c r="AK92" t="s">
        <v>103</v>
      </c>
      <c r="AL92" t="s">
        <v>107</v>
      </c>
      <c r="AM92" t="s">
        <v>116</v>
      </c>
      <c r="AN92">
        <v>88</v>
      </c>
      <c r="AO92">
        <v>89</v>
      </c>
      <c r="AP92">
        <v>82</v>
      </c>
      <c r="AQ92">
        <v>86</v>
      </c>
      <c r="AR92">
        <v>42</v>
      </c>
      <c r="AS92">
        <v>69</v>
      </c>
      <c r="AT92">
        <v>83</v>
      </c>
      <c r="AU92">
        <v>91</v>
      </c>
      <c r="AV92">
        <v>68</v>
      </c>
      <c r="AW92">
        <v>84</v>
      </c>
      <c r="AX92">
        <v>79</v>
      </c>
      <c r="AY92">
        <v>87</v>
      </c>
      <c r="AZ92">
        <v>85</v>
      </c>
      <c r="BA92">
        <v>74</v>
      </c>
      <c r="BB92">
        <v>74</v>
      </c>
      <c r="BC92">
        <v>84</v>
      </c>
      <c r="BD92">
        <v>85</v>
      </c>
      <c r="BE92">
        <v>90</v>
      </c>
      <c r="BF92">
        <v>85</v>
      </c>
      <c r="BG92">
        <v>91</v>
      </c>
      <c r="BH92">
        <v>76</v>
      </c>
      <c r="BI92">
        <v>88</v>
      </c>
      <c r="BJ92">
        <v>60</v>
      </c>
      <c r="BK92">
        <v>88</v>
      </c>
      <c r="BL92">
        <v>64</v>
      </c>
      <c r="BM92">
        <v>89</v>
      </c>
      <c r="BN92">
        <v>62</v>
      </c>
      <c r="BO92">
        <v>39</v>
      </c>
      <c r="BP92">
        <v>91</v>
      </c>
      <c r="BQ92">
        <v>84</v>
      </c>
      <c r="BR92">
        <v>73</v>
      </c>
      <c r="BS92">
        <v>89</v>
      </c>
      <c r="BT92">
        <v>47</v>
      </c>
      <c r="BU92">
        <v>34</v>
      </c>
      <c r="BV92">
        <v>33</v>
      </c>
      <c r="BW92">
        <v>11</v>
      </c>
      <c r="BX92">
        <v>13</v>
      </c>
      <c r="BY92">
        <v>13</v>
      </c>
      <c r="BZ92">
        <v>6</v>
      </c>
      <c r="CA92">
        <v>10</v>
      </c>
      <c r="CB92">
        <v>88</v>
      </c>
      <c r="CC92">
        <v>87</v>
      </c>
      <c r="CD92">
        <v>87</v>
      </c>
      <c r="CE92">
        <v>87</v>
      </c>
      <c r="CF92">
        <v>87</v>
      </c>
      <c r="CG92">
        <v>87</v>
      </c>
      <c r="CH92">
        <v>89</v>
      </c>
      <c r="CI92">
        <v>89</v>
      </c>
      <c r="CJ92">
        <v>83</v>
      </c>
      <c r="CK92">
        <v>89</v>
      </c>
      <c r="CL92">
        <v>71</v>
      </c>
      <c r="CM92">
        <v>67</v>
      </c>
      <c r="CN92">
        <v>71</v>
      </c>
      <c r="CO92">
        <v>67</v>
      </c>
      <c r="CP92">
        <v>57</v>
      </c>
      <c r="CQ92">
        <v>67</v>
      </c>
      <c r="CR92">
        <v>22</v>
      </c>
    </row>
    <row r="93" spans="1:96">
      <c r="A93">
        <v>92</v>
      </c>
      <c r="B93" t="s">
        <v>562</v>
      </c>
      <c r="C93" t="s">
        <v>519</v>
      </c>
      <c r="D93" t="s">
        <v>520</v>
      </c>
      <c r="E93" t="s">
        <v>563</v>
      </c>
      <c r="F93">
        <v>88</v>
      </c>
      <c r="G93">
        <v>40</v>
      </c>
      <c r="H93" t="s">
        <v>562</v>
      </c>
      <c r="I93" t="s">
        <v>564</v>
      </c>
      <c r="J93">
        <v>90</v>
      </c>
      <c r="K93">
        <v>90</v>
      </c>
      <c r="L93">
        <v>41000000</v>
      </c>
      <c r="M93" t="s">
        <v>520</v>
      </c>
      <c r="N93" t="s">
        <v>520</v>
      </c>
      <c r="O93" t="s">
        <v>134</v>
      </c>
      <c r="P93" t="s">
        <v>565</v>
      </c>
      <c r="Q93">
        <v>37</v>
      </c>
      <c r="R93">
        <v>187</v>
      </c>
      <c r="S93">
        <v>83</v>
      </c>
      <c r="T93">
        <v>2159</v>
      </c>
      <c r="U93">
        <v>445</v>
      </c>
      <c r="V93" t="s">
        <v>110</v>
      </c>
      <c r="W93">
        <v>220000</v>
      </c>
      <c r="X93">
        <v>77900000</v>
      </c>
      <c r="Y93" t="s">
        <v>114</v>
      </c>
      <c r="Z93">
        <v>2023</v>
      </c>
      <c r="AA93">
        <v>7</v>
      </c>
      <c r="AB93">
        <v>2021</v>
      </c>
      <c r="AC93" t="s">
        <v>103</v>
      </c>
      <c r="AD93" t="s">
        <v>104</v>
      </c>
      <c r="AE93">
        <v>4</v>
      </c>
      <c r="AF93">
        <v>5</v>
      </c>
      <c r="AG93">
        <v>5</v>
      </c>
      <c r="AH93" t="s">
        <v>134</v>
      </c>
      <c r="AI93" t="s">
        <v>138</v>
      </c>
      <c r="AJ93" t="s">
        <v>520</v>
      </c>
      <c r="AK93">
        <v>7</v>
      </c>
      <c r="AL93" t="s">
        <v>107</v>
      </c>
      <c r="AM93" t="s">
        <v>406</v>
      </c>
      <c r="AN93">
        <v>81</v>
      </c>
      <c r="AO93">
        <v>92</v>
      </c>
      <c r="AP93">
        <v>78</v>
      </c>
      <c r="AQ93">
        <v>85</v>
      </c>
      <c r="AR93">
        <v>34</v>
      </c>
      <c r="AS93">
        <v>75</v>
      </c>
      <c r="AT93">
        <v>80</v>
      </c>
      <c r="AU93">
        <v>93</v>
      </c>
      <c r="AV93">
        <v>90</v>
      </c>
      <c r="AW93">
        <v>80</v>
      </c>
      <c r="AX93">
        <v>86</v>
      </c>
      <c r="AY93">
        <v>85</v>
      </c>
      <c r="AZ93">
        <v>81</v>
      </c>
      <c r="BA93">
        <v>79</v>
      </c>
      <c r="BB93">
        <v>75</v>
      </c>
      <c r="BC93">
        <v>88</v>
      </c>
      <c r="BD93">
        <v>79</v>
      </c>
      <c r="BE93">
        <v>83</v>
      </c>
      <c r="BF93">
        <v>77</v>
      </c>
      <c r="BG93">
        <v>94</v>
      </c>
      <c r="BH93">
        <v>67</v>
      </c>
      <c r="BI93">
        <v>93</v>
      </c>
      <c r="BJ93">
        <v>95</v>
      </c>
      <c r="BK93">
        <v>76</v>
      </c>
      <c r="BL93">
        <v>77</v>
      </c>
      <c r="BM93">
        <v>90</v>
      </c>
      <c r="BN93">
        <v>63</v>
      </c>
      <c r="BO93">
        <v>29</v>
      </c>
      <c r="BP93">
        <v>95</v>
      </c>
      <c r="BQ93">
        <v>76</v>
      </c>
      <c r="BR93">
        <v>90</v>
      </c>
      <c r="BS93">
        <v>95</v>
      </c>
      <c r="BT93">
        <v>24</v>
      </c>
      <c r="BU93">
        <v>32</v>
      </c>
      <c r="BV93">
        <v>24</v>
      </c>
      <c r="BW93">
        <v>7</v>
      </c>
      <c r="BX93">
        <v>11</v>
      </c>
      <c r="BY93">
        <v>15</v>
      </c>
      <c r="BZ93">
        <v>14</v>
      </c>
      <c r="CA93">
        <v>11</v>
      </c>
      <c r="CB93">
        <v>90</v>
      </c>
      <c r="CC93">
        <v>86</v>
      </c>
      <c r="CD93">
        <v>88</v>
      </c>
      <c r="CE93">
        <v>88</v>
      </c>
      <c r="CF93">
        <v>88</v>
      </c>
      <c r="CG93">
        <v>86</v>
      </c>
      <c r="CH93">
        <v>88</v>
      </c>
      <c r="CI93">
        <v>87</v>
      </c>
      <c r="CJ93">
        <v>81</v>
      </c>
      <c r="CK93">
        <v>87</v>
      </c>
      <c r="CL93">
        <v>65</v>
      </c>
      <c r="CM93">
        <v>62</v>
      </c>
      <c r="CN93">
        <v>65</v>
      </c>
      <c r="CO93">
        <v>61</v>
      </c>
      <c r="CP93">
        <v>56</v>
      </c>
      <c r="CQ93">
        <v>61</v>
      </c>
      <c r="CR93">
        <v>23</v>
      </c>
    </row>
    <row r="94" spans="1:96">
      <c r="A94">
        <v>93</v>
      </c>
      <c r="B94" t="s">
        <v>566</v>
      </c>
      <c r="C94" t="s">
        <v>519</v>
      </c>
      <c r="D94" t="s">
        <v>532</v>
      </c>
      <c r="E94" t="s">
        <v>567</v>
      </c>
      <c r="F94">
        <v>86</v>
      </c>
      <c r="G94">
        <v>30</v>
      </c>
      <c r="H94" t="s">
        <v>568</v>
      </c>
      <c r="I94" t="s">
        <v>566</v>
      </c>
      <c r="J94">
        <v>86</v>
      </c>
      <c r="K94">
        <v>86</v>
      </c>
      <c r="L94">
        <v>69500000</v>
      </c>
      <c r="M94" t="s">
        <v>569</v>
      </c>
      <c r="N94" t="s">
        <v>133</v>
      </c>
      <c r="O94" t="s">
        <v>287</v>
      </c>
      <c r="P94" t="s">
        <v>570</v>
      </c>
      <c r="Q94">
        <v>28</v>
      </c>
      <c r="R94">
        <v>177</v>
      </c>
      <c r="S94">
        <v>75</v>
      </c>
      <c r="T94">
        <v>2108</v>
      </c>
      <c r="U94">
        <v>439</v>
      </c>
      <c r="V94" t="s">
        <v>567</v>
      </c>
      <c r="W94">
        <v>130000</v>
      </c>
      <c r="X94">
        <v>118200000</v>
      </c>
      <c r="Y94" t="s">
        <v>106</v>
      </c>
      <c r="Z94">
        <v>2025</v>
      </c>
      <c r="AA94">
        <v>21</v>
      </c>
      <c r="AB94">
        <v>2022</v>
      </c>
      <c r="AC94" t="s">
        <v>103</v>
      </c>
      <c r="AD94" t="s">
        <v>137</v>
      </c>
      <c r="AE94">
        <v>3</v>
      </c>
      <c r="AF94">
        <v>4</v>
      </c>
      <c r="AG94">
        <v>3</v>
      </c>
      <c r="AH94" t="s">
        <v>287</v>
      </c>
      <c r="AI94" t="s">
        <v>289</v>
      </c>
      <c r="AJ94" t="s">
        <v>114</v>
      </c>
      <c r="AK94">
        <v>21</v>
      </c>
      <c r="AL94" t="s">
        <v>107</v>
      </c>
      <c r="AM94" t="s">
        <v>406</v>
      </c>
      <c r="AN94">
        <v>80</v>
      </c>
      <c r="AO94">
        <v>85</v>
      </c>
      <c r="AP94">
        <v>85</v>
      </c>
      <c r="AQ94">
        <v>90</v>
      </c>
      <c r="AR94">
        <v>40</v>
      </c>
      <c r="AS94">
        <v>59</v>
      </c>
      <c r="AT94">
        <v>82</v>
      </c>
      <c r="AU94">
        <v>83</v>
      </c>
      <c r="AV94">
        <v>58</v>
      </c>
      <c r="AW94">
        <v>86</v>
      </c>
      <c r="AX94">
        <v>88</v>
      </c>
      <c r="AY94">
        <v>90</v>
      </c>
      <c r="AZ94">
        <v>89</v>
      </c>
      <c r="BA94">
        <v>88</v>
      </c>
      <c r="BB94">
        <v>79</v>
      </c>
      <c r="BC94">
        <v>93</v>
      </c>
      <c r="BD94">
        <v>84</v>
      </c>
      <c r="BE94">
        <v>76</v>
      </c>
      <c r="BF94">
        <v>88</v>
      </c>
      <c r="BG94">
        <v>79</v>
      </c>
      <c r="BH94">
        <v>90</v>
      </c>
      <c r="BI94">
        <v>84</v>
      </c>
      <c r="BJ94">
        <v>74</v>
      </c>
      <c r="BK94">
        <v>68</v>
      </c>
      <c r="BL94">
        <v>60</v>
      </c>
      <c r="BM94">
        <v>89</v>
      </c>
      <c r="BN94">
        <v>43</v>
      </c>
      <c r="BO94">
        <v>42</v>
      </c>
      <c r="BP94">
        <v>82</v>
      </c>
      <c r="BQ94">
        <v>91</v>
      </c>
      <c r="BR94">
        <v>84</v>
      </c>
      <c r="BS94">
        <v>79</v>
      </c>
      <c r="BT94">
        <v>32</v>
      </c>
      <c r="BU94">
        <v>41</v>
      </c>
      <c r="BV94">
        <v>39</v>
      </c>
      <c r="BW94">
        <v>5</v>
      </c>
      <c r="BX94">
        <v>4</v>
      </c>
      <c r="BY94">
        <v>4</v>
      </c>
      <c r="BZ94">
        <v>5</v>
      </c>
      <c r="CA94">
        <v>8</v>
      </c>
      <c r="CB94">
        <v>84</v>
      </c>
      <c r="CC94">
        <v>86</v>
      </c>
      <c r="CD94">
        <v>85</v>
      </c>
      <c r="CE94">
        <v>85</v>
      </c>
      <c r="CF94">
        <v>85</v>
      </c>
      <c r="CG94">
        <v>86</v>
      </c>
      <c r="CH94">
        <v>86</v>
      </c>
      <c r="CI94">
        <v>86</v>
      </c>
      <c r="CJ94">
        <v>84</v>
      </c>
      <c r="CK94">
        <v>86</v>
      </c>
      <c r="CL94">
        <v>68</v>
      </c>
      <c r="CM94">
        <v>66</v>
      </c>
      <c r="CN94">
        <v>68</v>
      </c>
      <c r="CO94">
        <v>64</v>
      </c>
      <c r="CP94">
        <v>54</v>
      </c>
      <c r="CQ94">
        <v>64</v>
      </c>
      <c r="CR94">
        <v>17</v>
      </c>
    </row>
    <row r="95" spans="1:96">
      <c r="A95">
        <v>94</v>
      </c>
      <c r="B95" t="s">
        <v>571</v>
      </c>
      <c r="C95" t="s">
        <v>519</v>
      </c>
      <c r="D95" t="s">
        <v>311</v>
      </c>
      <c r="E95" t="s">
        <v>118</v>
      </c>
      <c r="F95">
        <v>86</v>
      </c>
      <c r="G95">
        <v>30</v>
      </c>
      <c r="H95" t="s">
        <v>572</v>
      </c>
      <c r="I95" t="s">
        <v>573</v>
      </c>
      <c r="J95">
        <v>86</v>
      </c>
      <c r="K95">
        <v>92</v>
      </c>
      <c r="L95">
        <v>109000000</v>
      </c>
      <c r="M95" t="s">
        <v>311</v>
      </c>
      <c r="N95" t="s">
        <v>311</v>
      </c>
      <c r="O95" t="s">
        <v>112</v>
      </c>
      <c r="P95" t="s">
        <v>574</v>
      </c>
      <c r="Q95">
        <v>21</v>
      </c>
      <c r="R95">
        <v>176</v>
      </c>
      <c r="S95">
        <v>73</v>
      </c>
      <c r="T95">
        <v>1985</v>
      </c>
      <c r="U95">
        <v>434</v>
      </c>
      <c r="V95" t="s">
        <v>123</v>
      </c>
      <c r="W95">
        <v>200000</v>
      </c>
      <c r="X95">
        <v>245300000</v>
      </c>
      <c r="Y95" t="s">
        <v>311</v>
      </c>
      <c r="Z95">
        <v>2025</v>
      </c>
      <c r="AA95">
        <v>20</v>
      </c>
      <c r="AB95">
        <v>2018</v>
      </c>
      <c r="AC95" t="s">
        <v>103</v>
      </c>
      <c r="AD95" t="s">
        <v>104</v>
      </c>
      <c r="AE95">
        <v>4</v>
      </c>
      <c r="AF95">
        <v>5</v>
      </c>
      <c r="AG95">
        <v>2</v>
      </c>
      <c r="AH95" t="s">
        <v>103</v>
      </c>
      <c r="AI95" t="s">
        <v>115</v>
      </c>
      <c r="AJ95" t="s">
        <v>103</v>
      </c>
      <c r="AK95" t="s">
        <v>103</v>
      </c>
      <c r="AL95" t="s">
        <v>107</v>
      </c>
      <c r="AM95" t="s">
        <v>116</v>
      </c>
      <c r="AN95">
        <v>95</v>
      </c>
      <c r="AO95">
        <v>79</v>
      </c>
      <c r="AP95">
        <v>74</v>
      </c>
      <c r="AQ95">
        <v>90</v>
      </c>
      <c r="AR95">
        <v>29</v>
      </c>
      <c r="AS95">
        <v>67</v>
      </c>
      <c r="AT95">
        <v>72</v>
      </c>
      <c r="AU95">
        <v>84</v>
      </c>
      <c r="AV95">
        <v>50</v>
      </c>
      <c r="AW95">
        <v>75</v>
      </c>
      <c r="AX95">
        <v>72</v>
      </c>
      <c r="AY95">
        <v>92</v>
      </c>
      <c r="AZ95">
        <v>77</v>
      </c>
      <c r="BA95">
        <v>62</v>
      </c>
      <c r="BB95">
        <v>73</v>
      </c>
      <c r="BC95">
        <v>89</v>
      </c>
      <c r="BD95">
        <v>95</v>
      </c>
      <c r="BE95">
        <v>95</v>
      </c>
      <c r="BF95">
        <v>94</v>
      </c>
      <c r="BG95">
        <v>82</v>
      </c>
      <c r="BH95">
        <v>83</v>
      </c>
      <c r="BI95">
        <v>76</v>
      </c>
      <c r="BJ95">
        <v>75</v>
      </c>
      <c r="BK95">
        <v>84</v>
      </c>
      <c r="BL95">
        <v>62</v>
      </c>
      <c r="BM95">
        <v>76</v>
      </c>
      <c r="BN95">
        <v>58</v>
      </c>
      <c r="BO95">
        <v>26</v>
      </c>
      <c r="BP95">
        <v>82</v>
      </c>
      <c r="BQ95">
        <v>75</v>
      </c>
      <c r="BR95">
        <v>65</v>
      </c>
      <c r="BS95">
        <v>79</v>
      </c>
      <c r="BT95">
        <v>32</v>
      </c>
      <c r="BU95">
        <v>25</v>
      </c>
      <c r="BV95">
        <v>18</v>
      </c>
      <c r="BW95">
        <v>5</v>
      </c>
      <c r="BX95">
        <v>7</v>
      </c>
      <c r="BY95">
        <v>7</v>
      </c>
      <c r="BZ95">
        <v>7</v>
      </c>
      <c r="CA95">
        <v>10</v>
      </c>
      <c r="CB95">
        <v>81</v>
      </c>
      <c r="CC95">
        <v>85</v>
      </c>
      <c r="CD95">
        <v>84</v>
      </c>
      <c r="CE95">
        <v>84</v>
      </c>
      <c r="CF95">
        <v>84</v>
      </c>
      <c r="CG95">
        <v>85</v>
      </c>
      <c r="CH95">
        <v>85</v>
      </c>
      <c r="CI95">
        <v>86</v>
      </c>
      <c r="CJ95">
        <v>77</v>
      </c>
      <c r="CK95">
        <v>86</v>
      </c>
      <c r="CL95">
        <v>63</v>
      </c>
      <c r="CM95">
        <v>58</v>
      </c>
      <c r="CN95">
        <v>63</v>
      </c>
      <c r="CO95">
        <v>58</v>
      </c>
      <c r="CP95">
        <v>47</v>
      </c>
      <c r="CQ95">
        <v>58</v>
      </c>
      <c r="CR95">
        <v>17</v>
      </c>
    </row>
    <row r="96" spans="1:96">
      <c r="A96">
        <v>95</v>
      </c>
      <c r="B96" t="s">
        <v>575</v>
      </c>
      <c r="C96" t="s">
        <v>519</v>
      </c>
      <c r="D96" t="s">
        <v>520</v>
      </c>
      <c r="E96" t="s">
        <v>576</v>
      </c>
      <c r="F96">
        <v>86</v>
      </c>
      <c r="G96">
        <v>30</v>
      </c>
      <c r="H96" t="s">
        <v>577</v>
      </c>
      <c r="I96" t="s">
        <v>575</v>
      </c>
      <c r="J96">
        <v>86</v>
      </c>
      <c r="K96">
        <v>86</v>
      </c>
      <c r="L96">
        <v>55000000</v>
      </c>
      <c r="M96" t="s">
        <v>520</v>
      </c>
      <c r="N96" t="s">
        <v>520</v>
      </c>
      <c r="O96" t="s">
        <v>156</v>
      </c>
      <c r="P96" t="s">
        <v>578</v>
      </c>
      <c r="Q96">
        <v>32</v>
      </c>
      <c r="R96">
        <v>185</v>
      </c>
      <c r="S96">
        <v>85</v>
      </c>
      <c r="T96">
        <v>2060</v>
      </c>
      <c r="U96">
        <v>434</v>
      </c>
      <c r="V96" t="s">
        <v>576</v>
      </c>
      <c r="W96">
        <v>100000</v>
      </c>
      <c r="X96">
        <v>93500000</v>
      </c>
      <c r="Y96" t="s">
        <v>520</v>
      </c>
      <c r="Z96">
        <v>2025</v>
      </c>
      <c r="AA96">
        <v>17</v>
      </c>
      <c r="AB96">
        <v>2016</v>
      </c>
      <c r="AC96" t="s">
        <v>103</v>
      </c>
      <c r="AD96" t="s">
        <v>104</v>
      </c>
      <c r="AE96">
        <v>4</v>
      </c>
      <c r="AF96">
        <v>3</v>
      </c>
      <c r="AG96">
        <v>4</v>
      </c>
      <c r="AH96" t="s">
        <v>156</v>
      </c>
      <c r="AI96" t="s">
        <v>159</v>
      </c>
      <c r="AJ96" t="s">
        <v>520</v>
      </c>
      <c r="AK96">
        <v>17</v>
      </c>
      <c r="AL96" t="s">
        <v>107</v>
      </c>
      <c r="AM96" t="s">
        <v>116</v>
      </c>
      <c r="AN96">
        <v>85</v>
      </c>
      <c r="AO96">
        <v>87</v>
      </c>
      <c r="AP96">
        <v>68</v>
      </c>
      <c r="AQ96">
        <v>80</v>
      </c>
      <c r="AR96">
        <v>39</v>
      </c>
      <c r="AS96">
        <v>75</v>
      </c>
      <c r="AT96">
        <v>55</v>
      </c>
      <c r="AU96">
        <v>91</v>
      </c>
      <c r="AV96">
        <v>81</v>
      </c>
      <c r="AW96">
        <v>79</v>
      </c>
      <c r="AX96">
        <v>85</v>
      </c>
      <c r="AY96">
        <v>79</v>
      </c>
      <c r="AZ96">
        <v>70</v>
      </c>
      <c r="BA96">
        <v>58</v>
      </c>
      <c r="BB96">
        <v>57</v>
      </c>
      <c r="BC96">
        <v>81</v>
      </c>
      <c r="BD96">
        <v>84</v>
      </c>
      <c r="BE96">
        <v>86</v>
      </c>
      <c r="BF96">
        <v>75</v>
      </c>
      <c r="BG96">
        <v>87</v>
      </c>
      <c r="BH96">
        <v>84</v>
      </c>
      <c r="BI96">
        <v>86</v>
      </c>
      <c r="BJ96">
        <v>82</v>
      </c>
      <c r="BK96">
        <v>78</v>
      </c>
      <c r="BL96">
        <v>74</v>
      </c>
      <c r="BM96">
        <v>80</v>
      </c>
      <c r="BN96">
        <v>73</v>
      </c>
      <c r="BO96">
        <v>40</v>
      </c>
      <c r="BP96">
        <v>90</v>
      </c>
      <c r="BQ96">
        <v>71</v>
      </c>
      <c r="BR96">
        <v>88</v>
      </c>
      <c r="BS96">
        <v>76</v>
      </c>
      <c r="BT96">
        <v>34</v>
      </c>
      <c r="BU96">
        <v>33</v>
      </c>
      <c r="BV96">
        <v>32</v>
      </c>
      <c r="BW96">
        <v>6</v>
      </c>
      <c r="BX96">
        <v>8</v>
      </c>
      <c r="BY96">
        <v>15</v>
      </c>
      <c r="BZ96">
        <v>12</v>
      </c>
      <c r="CA96">
        <v>6</v>
      </c>
      <c r="CB96">
        <v>86</v>
      </c>
      <c r="CC96">
        <v>80</v>
      </c>
      <c r="CD96">
        <v>83</v>
      </c>
      <c r="CE96">
        <v>83</v>
      </c>
      <c r="CF96">
        <v>83</v>
      </c>
      <c r="CG96">
        <v>80</v>
      </c>
      <c r="CH96">
        <v>83</v>
      </c>
      <c r="CI96">
        <v>81</v>
      </c>
      <c r="CJ96">
        <v>76</v>
      </c>
      <c r="CK96">
        <v>81</v>
      </c>
      <c r="CL96">
        <v>64</v>
      </c>
      <c r="CM96">
        <v>62</v>
      </c>
      <c r="CN96">
        <v>64</v>
      </c>
      <c r="CO96">
        <v>61</v>
      </c>
      <c r="CP96">
        <v>58</v>
      </c>
      <c r="CQ96">
        <v>61</v>
      </c>
      <c r="CR96">
        <v>20</v>
      </c>
    </row>
    <row r="97" spans="1:96">
      <c r="A97">
        <v>96</v>
      </c>
      <c r="B97" t="s">
        <v>579</v>
      </c>
      <c r="C97" t="s">
        <v>519</v>
      </c>
      <c r="D97" t="s">
        <v>520</v>
      </c>
      <c r="E97" t="s">
        <v>184</v>
      </c>
      <c r="F97">
        <v>86</v>
      </c>
      <c r="G97">
        <v>30</v>
      </c>
      <c r="H97" t="s">
        <v>580</v>
      </c>
      <c r="I97" t="s">
        <v>581</v>
      </c>
      <c r="J97">
        <v>86</v>
      </c>
      <c r="K97">
        <v>90</v>
      </c>
      <c r="L97">
        <v>98500000</v>
      </c>
      <c r="M97" t="s">
        <v>520</v>
      </c>
      <c r="N97" t="s">
        <v>520</v>
      </c>
      <c r="O97" t="s">
        <v>287</v>
      </c>
      <c r="P97" t="s">
        <v>582</v>
      </c>
      <c r="Q97">
        <v>24</v>
      </c>
      <c r="R97">
        <v>174</v>
      </c>
      <c r="S97">
        <v>72</v>
      </c>
      <c r="T97">
        <v>2163</v>
      </c>
      <c r="U97">
        <v>455</v>
      </c>
      <c r="V97" t="s">
        <v>187</v>
      </c>
      <c r="W97">
        <v>110000</v>
      </c>
      <c r="X97">
        <v>169900000</v>
      </c>
      <c r="Y97" t="s">
        <v>520</v>
      </c>
      <c r="Z97">
        <v>2026</v>
      </c>
      <c r="AA97">
        <v>10</v>
      </c>
      <c r="AB97">
        <v>2018</v>
      </c>
      <c r="AC97" t="s">
        <v>103</v>
      </c>
      <c r="AD97" t="s">
        <v>104</v>
      </c>
      <c r="AE97">
        <v>4</v>
      </c>
      <c r="AF97">
        <v>4</v>
      </c>
      <c r="AG97">
        <v>3</v>
      </c>
      <c r="AH97" t="s">
        <v>287</v>
      </c>
      <c r="AI97" t="s">
        <v>289</v>
      </c>
      <c r="AJ97" t="s">
        <v>520</v>
      </c>
      <c r="AK97">
        <v>22</v>
      </c>
      <c r="AL97" t="s">
        <v>107</v>
      </c>
      <c r="AM97" t="s">
        <v>116</v>
      </c>
      <c r="AN97">
        <v>83</v>
      </c>
      <c r="AO97">
        <v>83</v>
      </c>
      <c r="AP97">
        <v>72</v>
      </c>
      <c r="AQ97">
        <v>85</v>
      </c>
      <c r="AR97">
        <v>48</v>
      </c>
      <c r="AS97">
        <v>84</v>
      </c>
      <c r="AT97">
        <v>58</v>
      </c>
      <c r="AU97">
        <v>88</v>
      </c>
      <c r="AV97">
        <v>84</v>
      </c>
      <c r="AW97">
        <v>76</v>
      </c>
      <c r="AX97">
        <v>90</v>
      </c>
      <c r="AY97">
        <v>84</v>
      </c>
      <c r="AZ97">
        <v>78</v>
      </c>
      <c r="BA97">
        <v>54</v>
      </c>
      <c r="BB97">
        <v>73</v>
      </c>
      <c r="BC97">
        <v>86</v>
      </c>
      <c r="BD97">
        <v>86</v>
      </c>
      <c r="BE97">
        <v>80</v>
      </c>
      <c r="BF97">
        <v>86</v>
      </c>
      <c r="BG97">
        <v>89</v>
      </c>
      <c r="BH97">
        <v>89</v>
      </c>
      <c r="BI97">
        <v>80</v>
      </c>
      <c r="BJ97">
        <v>89</v>
      </c>
      <c r="BK97">
        <v>80</v>
      </c>
      <c r="BL97">
        <v>84</v>
      </c>
      <c r="BM97">
        <v>76</v>
      </c>
      <c r="BN97">
        <v>90</v>
      </c>
      <c r="BO97">
        <v>45</v>
      </c>
      <c r="BP97">
        <v>86</v>
      </c>
      <c r="BQ97">
        <v>80</v>
      </c>
      <c r="BR97">
        <v>74</v>
      </c>
      <c r="BS97">
        <v>86</v>
      </c>
      <c r="BT97">
        <v>55</v>
      </c>
      <c r="BU97">
        <v>31</v>
      </c>
      <c r="BV97">
        <v>44</v>
      </c>
      <c r="BW97">
        <v>11</v>
      </c>
      <c r="BX97">
        <v>8</v>
      </c>
      <c r="BY97">
        <v>8</v>
      </c>
      <c r="BZ97">
        <v>8</v>
      </c>
      <c r="CA97">
        <v>13</v>
      </c>
      <c r="CB97">
        <v>88</v>
      </c>
      <c r="CC97">
        <v>82</v>
      </c>
      <c r="CD97">
        <v>84</v>
      </c>
      <c r="CE97">
        <v>84</v>
      </c>
      <c r="CF97">
        <v>84</v>
      </c>
      <c r="CG97">
        <v>82</v>
      </c>
      <c r="CH97">
        <v>85</v>
      </c>
      <c r="CI97">
        <v>83</v>
      </c>
      <c r="CJ97">
        <v>79</v>
      </c>
      <c r="CK97">
        <v>83</v>
      </c>
      <c r="CL97">
        <v>68</v>
      </c>
      <c r="CM97">
        <v>69</v>
      </c>
      <c r="CN97">
        <v>68</v>
      </c>
      <c r="CO97">
        <v>66</v>
      </c>
      <c r="CP97">
        <v>65</v>
      </c>
      <c r="CQ97">
        <v>66</v>
      </c>
      <c r="CR97">
        <v>22</v>
      </c>
    </row>
    <row r="98" spans="1:96">
      <c r="A98">
        <v>97</v>
      </c>
      <c r="B98" t="s">
        <v>583</v>
      </c>
      <c r="C98" t="s">
        <v>519</v>
      </c>
      <c r="D98" t="s">
        <v>311</v>
      </c>
      <c r="E98" t="s">
        <v>98</v>
      </c>
      <c r="F98">
        <v>85</v>
      </c>
      <c r="G98">
        <v>30</v>
      </c>
      <c r="H98" t="s">
        <v>584</v>
      </c>
      <c r="I98" t="s">
        <v>583</v>
      </c>
      <c r="J98">
        <v>85</v>
      </c>
      <c r="K98">
        <v>92</v>
      </c>
      <c r="L98">
        <v>109500000</v>
      </c>
      <c r="M98" t="s">
        <v>585</v>
      </c>
      <c r="N98" t="s">
        <v>133</v>
      </c>
      <c r="O98" t="s">
        <v>167</v>
      </c>
      <c r="P98" t="s">
        <v>586</v>
      </c>
      <c r="Q98">
        <v>22</v>
      </c>
      <c r="R98">
        <v>171</v>
      </c>
      <c r="S98">
        <v>69</v>
      </c>
      <c r="T98">
        <v>2083</v>
      </c>
      <c r="U98">
        <v>445</v>
      </c>
      <c r="V98" t="s">
        <v>98</v>
      </c>
      <c r="W98">
        <v>180000</v>
      </c>
      <c r="X98">
        <v>224500000</v>
      </c>
      <c r="Y98" t="s">
        <v>311</v>
      </c>
      <c r="Z98">
        <v>2024</v>
      </c>
      <c r="AA98">
        <v>47</v>
      </c>
      <c r="AB98">
        <v>2016</v>
      </c>
      <c r="AC98" t="s">
        <v>103</v>
      </c>
      <c r="AD98" t="s">
        <v>137</v>
      </c>
      <c r="AE98">
        <v>3</v>
      </c>
      <c r="AF98">
        <v>4</v>
      </c>
      <c r="AG98">
        <v>3</v>
      </c>
      <c r="AH98" t="s">
        <v>167</v>
      </c>
      <c r="AI98" t="s">
        <v>170</v>
      </c>
      <c r="AJ98" t="s">
        <v>136</v>
      </c>
      <c r="AK98">
        <v>20</v>
      </c>
      <c r="AL98" t="s">
        <v>107</v>
      </c>
      <c r="AM98" t="s">
        <v>107</v>
      </c>
      <c r="AN98">
        <v>82</v>
      </c>
      <c r="AO98">
        <v>78</v>
      </c>
      <c r="AP98">
        <v>81</v>
      </c>
      <c r="AQ98">
        <v>88</v>
      </c>
      <c r="AR98">
        <v>56</v>
      </c>
      <c r="AS98">
        <v>60</v>
      </c>
      <c r="AT98">
        <v>76</v>
      </c>
      <c r="AU98">
        <v>79</v>
      </c>
      <c r="AV98">
        <v>47</v>
      </c>
      <c r="AW98">
        <v>85</v>
      </c>
      <c r="AX98">
        <v>59</v>
      </c>
      <c r="AY98">
        <v>87</v>
      </c>
      <c r="AZ98">
        <v>73</v>
      </c>
      <c r="BA98">
        <v>68</v>
      </c>
      <c r="BB98">
        <v>81</v>
      </c>
      <c r="BC98">
        <v>91</v>
      </c>
      <c r="BD98">
        <v>86</v>
      </c>
      <c r="BE98">
        <v>78</v>
      </c>
      <c r="BF98">
        <v>91</v>
      </c>
      <c r="BG98">
        <v>83</v>
      </c>
      <c r="BH98">
        <v>91</v>
      </c>
      <c r="BI98">
        <v>82</v>
      </c>
      <c r="BJ98">
        <v>49</v>
      </c>
      <c r="BK98">
        <v>83</v>
      </c>
      <c r="BL98">
        <v>47</v>
      </c>
      <c r="BM98">
        <v>77</v>
      </c>
      <c r="BN98">
        <v>64</v>
      </c>
      <c r="BO98">
        <v>59</v>
      </c>
      <c r="BP98">
        <v>82</v>
      </c>
      <c r="BQ98">
        <v>85</v>
      </c>
      <c r="BR98">
        <v>64</v>
      </c>
      <c r="BS98">
        <v>84</v>
      </c>
      <c r="BT98">
        <v>58</v>
      </c>
      <c r="BU98">
        <v>59</v>
      </c>
      <c r="BV98">
        <v>47</v>
      </c>
      <c r="BW98">
        <v>8</v>
      </c>
      <c r="BX98">
        <v>15</v>
      </c>
      <c r="BY98">
        <v>6</v>
      </c>
      <c r="BZ98">
        <v>10</v>
      </c>
      <c r="CA98">
        <v>13</v>
      </c>
      <c r="CB98">
        <v>80</v>
      </c>
      <c r="CC98">
        <v>84</v>
      </c>
      <c r="CD98">
        <v>83</v>
      </c>
      <c r="CE98">
        <v>83</v>
      </c>
      <c r="CF98">
        <v>83</v>
      </c>
      <c r="CG98">
        <v>84</v>
      </c>
      <c r="CH98">
        <v>88</v>
      </c>
      <c r="CI98">
        <v>87</v>
      </c>
      <c r="CJ98">
        <v>85</v>
      </c>
      <c r="CK98">
        <v>87</v>
      </c>
      <c r="CL98">
        <v>75</v>
      </c>
      <c r="CM98">
        <v>74</v>
      </c>
      <c r="CN98">
        <v>75</v>
      </c>
      <c r="CO98">
        <v>72</v>
      </c>
      <c r="CP98">
        <v>62</v>
      </c>
      <c r="CQ98">
        <v>72</v>
      </c>
      <c r="CR98">
        <v>22</v>
      </c>
    </row>
    <row r="99" spans="1:96">
      <c r="A99">
        <v>98</v>
      </c>
      <c r="B99" t="s">
        <v>587</v>
      </c>
      <c r="C99" t="s">
        <v>519</v>
      </c>
      <c r="D99" t="s">
        <v>311</v>
      </c>
      <c r="E99" t="s">
        <v>220</v>
      </c>
      <c r="F99">
        <v>85</v>
      </c>
      <c r="G99">
        <v>30</v>
      </c>
      <c r="H99" t="s">
        <v>588</v>
      </c>
      <c r="I99" t="s">
        <v>587</v>
      </c>
      <c r="J99">
        <v>86</v>
      </c>
      <c r="K99">
        <v>86</v>
      </c>
      <c r="L99">
        <v>72500000</v>
      </c>
      <c r="M99" t="s">
        <v>589</v>
      </c>
      <c r="N99" t="s">
        <v>311</v>
      </c>
      <c r="O99" t="s">
        <v>167</v>
      </c>
      <c r="P99" t="s">
        <v>590</v>
      </c>
      <c r="Q99">
        <v>27</v>
      </c>
      <c r="R99">
        <v>170</v>
      </c>
      <c r="S99">
        <v>69</v>
      </c>
      <c r="T99">
        <v>2102</v>
      </c>
      <c r="U99">
        <v>446</v>
      </c>
      <c r="V99" t="s">
        <v>220</v>
      </c>
      <c r="W99">
        <v>195000</v>
      </c>
      <c r="X99">
        <v>134100000</v>
      </c>
      <c r="Y99" t="s">
        <v>520</v>
      </c>
      <c r="Z99">
        <v>2027</v>
      </c>
      <c r="AA99">
        <v>17</v>
      </c>
      <c r="AB99">
        <v>2022</v>
      </c>
      <c r="AC99" t="s">
        <v>103</v>
      </c>
      <c r="AD99" t="s">
        <v>104</v>
      </c>
      <c r="AE99">
        <v>3</v>
      </c>
      <c r="AF99">
        <v>4</v>
      </c>
      <c r="AG99">
        <v>4</v>
      </c>
      <c r="AH99" t="s">
        <v>167</v>
      </c>
      <c r="AI99" t="s">
        <v>170</v>
      </c>
      <c r="AJ99" t="s">
        <v>311</v>
      </c>
      <c r="AK99">
        <v>7</v>
      </c>
      <c r="AL99" t="s">
        <v>107</v>
      </c>
      <c r="AM99" t="s">
        <v>116</v>
      </c>
      <c r="AN99">
        <v>90</v>
      </c>
      <c r="AO99">
        <v>80</v>
      </c>
      <c r="AP99">
        <v>78</v>
      </c>
      <c r="AQ99">
        <v>86</v>
      </c>
      <c r="AR99">
        <v>45</v>
      </c>
      <c r="AS99">
        <v>67</v>
      </c>
      <c r="AT99">
        <v>79</v>
      </c>
      <c r="AU99">
        <v>82</v>
      </c>
      <c r="AV99">
        <v>46</v>
      </c>
      <c r="AW99">
        <v>83</v>
      </c>
      <c r="AX99">
        <v>67</v>
      </c>
      <c r="AY99">
        <v>86</v>
      </c>
      <c r="AZ99">
        <v>79</v>
      </c>
      <c r="BA99">
        <v>72</v>
      </c>
      <c r="BB99">
        <v>67</v>
      </c>
      <c r="BC99">
        <v>84</v>
      </c>
      <c r="BD99">
        <v>94</v>
      </c>
      <c r="BE99">
        <v>86</v>
      </c>
      <c r="BF99">
        <v>94</v>
      </c>
      <c r="BG99">
        <v>91</v>
      </c>
      <c r="BH99">
        <v>93</v>
      </c>
      <c r="BI99">
        <v>78</v>
      </c>
      <c r="BJ99">
        <v>57</v>
      </c>
      <c r="BK99">
        <v>79</v>
      </c>
      <c r="BL99">
        <v>65</v>
      </c>
      <c r="BM99">
        <v>80</v>
      </c>
      <c r="BN99">
        <v>59</v>
      </c>
      <c r="BO99">
        <v>30</v>
      </c>
      <c r="BP99">
        <v>91</v>
      </c>
      <c r="BQ99">
        <v>80</v>
      </c>
      <c r="BR99">
        <v>70</v>
      </c>
      <c r="BS99">
        <v>77</v>
      </c>
      <c r="BT99">
        <v>47</v>
      </c>
      <c r="BU99">
        <v>53</v>
      </c>
      <c r="BV99">
        <v>47</v>
      </c>
      <c r="BW99">
        <v>15</v>
      </c>
      <c r="BX99">
        <v>12</v>
      </c>
      <c r="BY99">
        <v>12</v>
      </c>
      <c r="BZ99">
        <v>15</v>
      </c>
      <c r="CA99">
        <v>9</v>
      </c>
      <c r="CB99">
        <v>83</v>
      </c>
      <c r="CC99">
        <v>85</v>
      </c>
      <c r="CD99">
        <v>85</v>
      </c>
      <c r="CE99">
        <v>85</v>
      </c>
      <c r="CF99">
        <v>85</v>
      </c>
      <c r="CG99">
        <v>85</v>
      </c>
      <c r="CH99">
        <v>86</v>
      </c>
      <c r="CI99">
        <v>86</v>
      </c>
      <c r="CJ99">
        <v>80</v>
      </c>
      <c r="CK99">
        <v>86</v>
      </c>
      <c r="CL99">
        <v>71</v>
      </c>
      <c r="CM99">
        <v>67</v>
      </c>
      <c r="CN99">
        <v>71</v>
      </c>
      <c r="CO99">
        <v>68</v>
      </c>
      <c r="CP99">
        <v>58</v>
      </c>
      <c r="CQ99">
        <v>68</v>
      </c>
      <c r="CR99">
        <v>24</v>
      </c>
    </row>
    <row r="100" spans="1:96">
      <c r="A100">
        <v>99</v>
      </c>
      <c r="B100" t="s">
        <v>591</v>
      </c>
      <c r="C100" t="s">
        <v>519</v>
      </c>
      <c r="D100" t="s">
        <v>520</v>
      </c>
      <c r="E100" t="s">
        <v>220</v>
      </c>
      <c r="F100">
        <v>85</v>
      </c>
      <c r="G100">
        <v>30</v>
      </c>
      <c r="H100" t="s">
        <v>592</v>
      </c>
      <c r="I100" t="s">
        <v>591</v>
      </c>
      <c r="J100">
        <v>86</v>
      </c>
      <c r="K100">
        <v>86</v>
      </c>
      <c r="L100">
        <v>68000000</v>
      </c>
      <c r="M100" t="s">
        <v>520</v>
      </c>
      <c r="N100" t="s">
        <v>520</v>
      </c>
      <c r="O100" t="s">
        <v>101</v>
      </c>
      <c r="P100" t="s">
        <v>593</v>
      </c>
      <c r="Q100">
        <v>29</v>
      </c>
      <c r="R100">
        <v>191</v>
      </c>
      <c r="S100">
        <v>94</v>
      </c>
      <c r="T100">
        <v>2034</v>
      </c>
      <c r="U100">
        <v>437</v>
      </c>
      <c r="V100" t="s">
        <v>187</v>
      </c>
      <c r="W100">
        <v>200000</v>
      </c>
      <c r="X100">
        <v>0</v>
      </c>
      <c r="Y100" t="s">
        <v>520</v>
      </c>
      <c r="Z100">
        <v>2023</v>
      </c>
      <c r="AA100">
        <v>90</v>
      </c>
      <c r="AB100">
        <v>2021</v>
      </c>
      <c r="AC100" t="b">
        <v>1</v>
      </c>
      <c r="AD100" t="s">
        <v>137</v>
      </c>
      <c r="AE100">
        <v>4</v>
      </c>
      <c r="AF100">
        <v>3</v>
      </c>
      <c r="AG100">
        <v>4</v>
      </c>
      <c r="AH100" t="s">
        <v>101</v>
      </c>
      <c r="AI100" t="s">
        <v>105</v>
      </c>
      <c r="AJ100" t="s">
        <v>520</v>
      </c>
      <c r="AK100">
        <v>9</v>
      </c>
      <c r="AL100" t="s">
        <v>116</v>
      </c>
      <c r="AM100" t="s">
        <v>406</v>
      </c>
      <c r="AN100">
        <v>80</v>
      </c>
      <c r="AO100">
        <v>85</v>
      </c>
      <c r="AP100">
        <v>75</v>
      </c>
      <c r="AQ100">
        <v>77</v>
      </c>
      <c r="AR100">
        <v>38</v>
      </c>
      <c r="AS100">
        <v>82</v>
      </c>
      <c r="AT100">
        <v>73</v>
      </c>
      <c r="AU100">
        <v>88</v>
      </c>
      <c r="AV100">
        <v>87</v>
      </c>
      <c r="AW100">
        <v>78</v>
      </c>
      <c r="AX100">
        <v>79</v>
      </c>
      <c r="AY100">
        <v>82</v>
      </c>
      <c r="AZ100">
        <v>78</v>
      </c>
      <c r="BA100">
        <v>66</v>
      </c>
      <c r="BB100">
        <v>70</v>
      </c>
      <c r="BC100">
        <v>78</v>
      </c>
      <c r="BD100">
        <v>72</v>
      </c>
      <c r="BE100">
        <v>86</v>
      </c>
      <c r="BF100">
        <v>59</v>
      </c>
      <c r="BG100">
        <v>86</v>
      </c>
      <c r="BH100">
        <v>52</v>
      </c>
      <c r="BI100">
        <v>87</v>
      </c>
      <c r="BJ100">
        <v>74</v>
      </c>
      <c r="BK100">
        <v>67</v>
      </c>
      <c r="BL100">
        <v>95</v>
      </c>
      <c r="BM100">
        <v>75</v>
      </c>
      <c r="BN100">
        <v>71</v>
      </c>
      <c r="BO100">
        <v>27</v>
      </c>
      <c r="BP100">
        <v>86</v>
      </c>
      <c r="BQ100">
        <v>75</v>
      </c>
      <c r="BR100">
        <v>88</v>
      </c>
      <c r="BS100">
        <v>82</v>
      </c>
      <c r="BT100">
        <v>30</v>
      </c>
      <c r="BU100">
        <v>41</v>
      </c>
      <c r="BV100">
        <v>30</v>
      </c>
      <c r="BW100">
        <v>8</v>
      </c>
      <c r="BX100">
        <v>15</v>
      </c>
      <c r="BY100">
        <v>14</v>
      </c>
      <c r="BZ100">
        <v>7</v>
      </c>
      <c r="CA100">
        <v>10</v>
      </c>
      <c r="CB100">
        <v>86</v>
      </c>
      <c r="CC100">
        <v>80</v>
      </c>
      <c r="CD100">
        <v>82</v>
      </c>
      <c r="CE100">
        <v>82</v>
      </c>
      <c r="CF100">
        <v>82</v>
      </c>
      <c r="CG100">
        <v>80</v>
      </c>
      <c r="CH100">
        <v>82</v>
      </c>
      <c r="CI100">
        <v>82</v>
      </c>
      <c r="CJ100">
        <v>76</v>
      </c>
      <c r="CK100">
        <v>82</v>
      </c>
      <c r="CL100">
        <v>63</v>
      </c>
      <c r="CM100">
        <v>62</v>
      </c>
      <c r="CN100">
        <v>63</v>
      </c>
      <c r="CO100">
        <v>60</v>
      </c>
      <c r="CP100">
        <v>59</v>
      </c>
      <c r="CQ100">
        <v>60</v>
      </c>
      <c r="CR100">
        <v>22</v>
      </c>
    </row>
    <row r="101" spans="1:96">
      <c r="A101">
        <v>100</v>
      </c>
      <c r="B101" t="s">
        <v>594</v>
      </c>
      <c r="C101" t="s">
        <v>519</v>
      </c>
      <c r="D101" t="s">
        <v>532</v>
      </c>
      <c r="E101" t="s">
        <v>182</v>
      </c>
      <c r="F101">
        <v>85</v>
      </c>
      <c r="G101">
        <v>30</v>
      </c>
      <c r="H101" t="s">
        <v>594</v>
      </c>
      <c r="I101" t="s">
        <v>595</v>
      </c>
      <c r="J101">
        <v>85</v>
      </c>
      <c r="K101">
        <v>89</v>
      </c>
      <c r="L101">
        <v>76000000</v>
      </c>
      <c r="M101" t="s">
        <v>596</v>
      </c>
      <c r="N101" t="s">
        <v>520</v>
      </c>
      <c r="O101" t="s">
        <v>134</v>
      </c>
      <c r="P101" t="s">
        <v>597</v>
      </c>
      <c r="Q101">
        <v>25</v>
      </c>
      <c r="R101">
        <v>178</v>
      </c>
      <c r="S101">
        <v>73</v>
      </c>
      <c r="T101">
        <v>2183</v>
      </c>
      <c r="U101">
        <v>462</v>
      </c>
      <c r="V101" t="s">
        <v>182</v>
      </c>
      <c r="W101">
        <v>170000</v>
      </c>
      <c r="X101">
        <v>146300000</v>
      </c>
      <c r="Y101" t="s">
        <v>114</v>
      </c>
      <c r="Z101">
        <v>2025</v>
      </c>
      <c r="AA101">
        <v>20</v>
      </c>
      <c r="AB101">
        <v>2020</v>
      </c>
      <c r="AC101" t="s">
        <v>103</v>
      </c>
      <c r="AD101" t="s">
        <v>104</v>
      </c>
      <c r="AE101">
        <v>5</v>
      </c>
      <c r="AF101">
        <v>4</v>
      </c>
      <c r="AG101">
        <v>2</v>
      </c>
      <c r="AH101" t="s">
        <v>134</v>
      </c>
      <c r="AI101" t="s">
        <v>138</v>
      </c>
      <c r="AJ101" t="s">
        <v>311</v>
      </c>
      <c r="AK101">
        <v>19</v>
      </c>
      <c r="AL101" t="s">
        <v>107</v>
      </c>
      <c r="AM101" t="s">
        <v>107</v>
      </c>
      <c r="AN101">
        <v>85</v>
      </c>
      <c r="AO101">
        <v>83</v>
      </c>
      <c r="AP101">
        <v>75</v>
      </c>
      <c r="AQ101">
        <v>85</v>
      </c>
      <c r="AR101">
        <v>57</v>
      </c>
      <c r="AS101">
        <v>77</v>
      </c>
      <c r="AT101">
        <v>73</v>
      </c>
      <c r="AU101">
        <v>86</v>
      </c>
      <c r="AV101">
        <v>84</v>
      </c>
      <c r="AW101">
        <v>77</v>
      </c>
      <c r="AX101">
        <v>79</v>
      </c>
      <c r="AY101">
        <v>85</v>
      </c>
      <c r="AZ101">
        <v>77</v>
      </c>
      <c r="BA101">
        <v>58</v>
      </c>
      <c r="BB101">
        <v>72</v>
      </c>
      <c r="BC101">
        <v>84</v>
      </c>
      <c r="BD101">
        <v>88</v>
      </c>
      <c r="BE101">
        <v>82</v>
      </c>
      <c r="BF101">
        <v>86</v>
      </c>
      <c r="BG101">
        <v>87</v>
      </c>
      <c r="BH101">
        <v>85</v>
      </c>
      <c r="BI101">
        <v>85</v>
      </c>
      <c r="BJ101">
        <v>81</v>
      </c>
      <c r="BK101">
        <v>83</v>
      </c>
      <c r="BL101">
        <v>71</v>
      </c>
      <c r="BM101">
        <v>75</v>
      </c>
      <c r="BN101">
        <v>85</v>
      </c>
      <c r="BO101">
        <v>56</v>
      </c>
      <c r="BP101">
        <v>89</v>
      </c>
      <c r="BQ101">
        <v>77</v>
      </c>
      <c r="BR101">
        <v>69</v>
      </c>
      <c r="BS101">
        <v>80</v>
      </c>
      <c r="BT101">
        <v>53</v>
      </c>
      <c r="BU101">
        <v>57</v>
      </c>
      <c r="BV101">
        <v>45</v>
      </c>
      <c r="BW101">
        <v>7</v>
      </c>
      <c r="BX101">
        <v>12</v>
      </c>
      <c r="BY101">
        <v>15</v>
      </c>
      <c r="BZ101">
        <v>9</v>
      </c>
      <c r="CA101">
        <v>11</v>
      </c>
      <c r="CB101">
        <v>86</v>
      </c>
      <c r="CC101">
        <v>83</v>
      </c>
      <c r="CD101">
        <v>84</v>
      </c>
      <c r="CE101">
        <v>84</v>
      </c>
      <c r="CF101">
        <v>84</v>
      </c>
      <c r="CG101">
        <v>83</v>
      </c>
      <c r="CH101">
        <v>84</v>
      </c>
      <c r="CI101">
        <v>84</v>
      </c>
      <c r="CJ101">
        <v>80</v>
      </c>
      <c r="CK101">
        <v>84</v>
      </c>
      <c r="CL101">
        <v>72</v>
      </c>
      <c r="CM101">
        <v>71</v>
      </c>
      <c r="CN101">
        <v>72</v>
      </c>
      <c r="CO101">
        <v>70</v>
      </c>
      <c r="CP101">
        <v>68</v>
      </c>
      <c r="CQ101">
        <v>70</v>
      </c>
      <c r="CR101">
        <v>21</v>
      </c>
    </row>
    <row r="102" spans="1:96">
      <c r="A102">
        <v>101</v>
      </c>
      <c r="B102" t="s">
        <v>598</v>
      </c>
      <c r="C102" t="s">
        <v>519</v>
      </c>
      <c r="D102" t="s">
        <v>520</v>
      </c>
      <c r="E102" t="s">
        <v>284</v>
      </c>
      <c r="F102">
        <v>85</v>
      </c>
      <c r="G102">
        <v>30</v>
      </c>
      <c r="H102" t="s">
        <v>599</v>
      </c>
      <c r="I102" t="s">
        <v>598</v>
      </c>
      <c r="J102">
        <v>83</v>
      </c>
      <c r="K102">
        <v>83</v>
      </c>
      <c r="L102">
        <v>30500000</v>
      </c>
      <c r="M102" t="s">
        <v>600</v>
      </c>
      <c r="N102" t="s">
        <v>133</v>
      </c>
      <c r="O102" t="s">
        <v>319</v>
      </c>
      <c r="P102" t="s">
        <v>601</v>
      </c>
      <c r="Q102">
        <v>31</v>
      </c>
      <c r="R102">
        <v>176</v>
      </c>
      <c r="S102">
        <v>73</v>
      </c>
      <c r="T102">
        <v>2235</v>
      </c>
      <c r="U102">
        <v>454</v>
      </c>
      <c r="V102" t="s">
        <v>256</v>
      </c>
      <c r="W102">
        <v>185000</v>
      </c>
      <c r="X102">
        <v>0</v>
      </c>
      <c r="Y102" t="s">
        <v>114</v>
      </c>
      <c r="Z102">
        <v>2023</v>
      </c>
      <c r="AA102">
        <v>8</v>
      </c>
      <c r="AB102">
        <v>2019</v>
      </c>
      <c r="AC102" t="b">
        <v>1</v>
      </c>
      <c r="AD102" t="s">
        <v>137</v>
      </c>
      <c r="AE102">
        <v>3</v>
      </c>
      <c r="AF102">
        <v>4</v>
      </c>
      <c r="AG102">
        <v>4</v>
      </c>
      <c r="AH102" t="s">
        <v>319</v>
      </c>
      <c r="AI102" t="s">
        <v>321</v>
      </c>
      <c r="AJ102" t="s">
        <v>133</v>
      </c>
      <c r="AK102">
        <v>7</v>
      </c>
      <c r="AL102" t="s">
        <v>116</v>
      </c>
      <c r="AM102" t="s">
        <v>116</v>
      </c>
      <c r="AN102">
        <v>80</v>
      </c>
      <c r="AO102">
        <v>82</v>
      </c>
      <c r="AP102">
        <v>83</v>
      </c>
      <c r="AQ102">
        <v>85</v>
      </c>
      <c r="AR102">
        <v>52</v>
      </c>
      <c r="AS102">
        <v>72</v>
      </c>
      <c r="AT102">
        <v>83</v>
      </c>
      <c r="AU102">
        <v>82</v>
      </c>
      <c r="AV102">
        <v>83</v>
      </c>
      <c r="AW102">
        <v>81</v>
      </c>
      <c r="AX102">
        <v>85</v>
      </c>
      <c r="AY102">
        <v>84</v>
      </c>
      <c r="AZ102">
        <v>86</v>
      </c>
      <c r="BA102">
        <v>85</v>
      </c>
      <c r="BB102">
        <v>80</v>
      </c>
      <c r="BC102">
        <v>85</v>
      </c>
      <c r="BD102">
        <v>79</v>
      </c>
      <c r="BE102">
        <v>80</v>
      </c>
      <c r="BF102">
        <v>90</v>
      </c>
      <c r="BG102">
        <v>85</v>
      </c>
      <c r="BH102">
        <v>83</v>
      </c>
      <c r="BI102">
        <v>82</v>
      </c>
      <c r="BJ102">
        <v>88</v>
      </c>
      <c r="BK102">
        <v>85</v>
      </c>
      <c r="BL102">
        <v>64</v>
      </c>
      <c r="BM102">
        <v>81</v>
      </c>
      <c r="BN102">
        <v>73</v>
      </c>
      <c r="BO102">
        <v>49</v>
      </c>
      <c r="BP102">
        <v>88</v>
      </c>
      <c r="BQ102">
        <v>85</v>
      </c>
      <c r="BR102">
        <v>79</v>
      </c>
      <c r="BS102">
        <v>89</v>
      </c>
      <c r="BT102">
        <v>43</v>
      </c>
      <c r="BU102">
        <v>54</v>
      </c>
      <c r="BV102">
        <v>50</v>
      </c>
      <c r="BW102">
        <v>14</v>
      </c>
      <c r="BX102">
        <v>8</v>
      </c>
      <c r="BY102">
        <v>14</v>
      </c>
      <c r="BZ102">
        <v>13</v>
      </c>
      <c r="CA102">
        <v>14</v>
      </c>
      <c r="CB102">
        <v>83</v>
      </c>
      <c r="CC102">
        <v>83</v>
      </c>
      <c r="CD102">
        <v>83</v>
      </c>
      <c r="CE102">
        <v>83</v>
      </c>
      <c r="CF102">
        <v>83</v>
      </c>
      <c r="CG102">
        <v>83</v>
      </c>
      <c r="CH102">
        <v>83</v>
      </c>
      <c r="CI102">
        <v>83</v>
      </c>
      <c r="CJ102">
        <v>83</v>
      </c>
      <c r="CK102">
        <v>83</v>
      </c>
      <c r="CL102">
        <v>73</v>
      </c>
      <c r="CM102">
        <v>71</v>
      </c>
      <c r="CN102">
        <v>73</v>
      </c>
      <c r="CO102">
        <v>71</v>
      </c>
      <c r="CP102">
        <v>65</v>
      </c>
      <c r="CQ102">
        <v>71</v>
      </c>
      <c r="CR102">
        <v>23</v>
      </c>
    </row>
    <row r="103" spans="1:96">
      <c r="A103">
        <v>102</v>
      </c>
      <c r="B103" t="s">
        <v>602</v>
      </c>
      <c r="C103" t="s">
        <v>519</v>
      </c>
      <c r="D103" t="s">
        <v>532</v>
      </c>
      <c r="E103" t="s">
        <v>284</v>
      </c>
      <c r="F103">
        <v>85</v>
      </c>
      <c r="G103">
        <v>30</v>
      </c>
      <c r="H103" t="s">
        <v>603</v>
      </c>
      <c r="I103" t="s">
        <v>602</v>
      </c>
      <c r="J103">
        <v>85</v>
      </c>
      <c r="K103">
        <v>85</v>
      </c>
      <c r="L103">
        <v>55000000</v>
      </c>
      <c r="M103" t="s">
        <v>604</v>
      </c>
      <c r="N103" t="s">
        <v>532</v>
      </c>
      <c r="O103" t="s">
        <v>142</v>
      </c>
      <c r="P103" t="s">
        <v>605</v>
      </c>
      <c r="Q103">
        <v>28</v>
      </c>
      <c r="R103">
        <v>176</v>
      </c>
      <c r="S103">
        <v>78</v>
      </c>
      <c r="T103">
        <v>2089</v>
      </c>
      <c r="U103">
        <v>444</v>
      </c>
      <c r="V103" t="s">
        <v>144</v>
      </c>
      <c r="W103">
        <v>230000</v>
      </c>
      <c r="X103">
        <v>112800000</v>
      </c>
      <c r="Y103" t="s">
        <v>114</v>
      </c>
      <c r="Z103">
        <v>2023</v>
      </c>
      <c r="AA103">
        <v>14</v>
      </c>
      <c r="AB103">
        <v>2021</v>
      </c>
      <c r="AC103" t="s">
        <v>103</v>
      </c>
      <c r="AD103" t="s">
        <v>104</v>
      </c>
      <c r="AE103">
        <v>3</v>
      </c>
      <c r="AF103">
        <v>5</v>
      </c>
      <c r="AG103">
        <v>4</v>
      </c>
      <c r="AH103" t="s">
        <v>142</v>
      </c>
      <c r="AI103" t="s">
        <v>145</v>
      </c>
      <c r="AJ103" t="s">
        <v>520</v>
      </c>
      <c r="AK103">
        <v>10</v>
      </c>
      <c r="AL103" t="s">
        <v>107</v>
      </c>
      <c r="AM103" t="s">
        <v>406</v>
      </c>
      <c r="AN103">
        <v>83</v>
      </c>
      <c r="AO103">
        <v>84</v>
      </c>
      <c r="AP103">
        <v>82</v>
      </c>
      <c r="AQ103">
        <v>86</v>
      </c>
      <c r="AR103">
        <v>30</v>
      </c>
      <c r="AS103">
        <v>79</v>
      </c>
      <c r="AT103">
        <v>84</v>
      </c>
      <c r="AU103">
        <v>84</v>
      </c>
      <c r="AV103">
        <v>65</v>
      </c>
      <c r="AW103">
        <v>81</v>
      </c>
      <c r="AX103">
        <v>75</v>
      </c>
      <c r="AY103">
        <v>87</v>
      </c>
      <c r="AZ103">
        <v>85</v>
      </c>
      <c r="BA103">
        <v>83</v>
      </c>
      <c r="BB103">
        <v>76</v>
      </c>
      <c r="BC103">
        <v>87</v>
      </c>
      <c r="BD103">
        <v>82</v>
      </c>
      <c r="BE103">
        <v>84</v>
      </c>
      <c r="BF103">
        <v>80</v>
      </c>
      <c r="BG103">
        <v>84</v>
      </c>
      <c r="BH103">
        <v>81</v>
      </c>
      <c r="BI103">
        <v>87</v>
      </c>
      <c r="BJ103">
        <v>69</v>
      </c>
      <c r="BK103">
        <v>79</v>
      </c>
      <c r="BL103">
        <v>83</v>
      </c>
      <c r="BM103">
        <v>83</v>
      </c>
      <c r="BN103">
        <v>72</v>
      </c>
      <c r="BO103">
        <v>28</v>
      </c>
      <c r="BP103">
        <v>85</v>
      </c>
      <c r="BQ103">
        <v>85</v>
      </c>
      <c r="BR103">
        <v>76</v>
      </c>
      <c r="BS103">
        <v>80</v>
      </c>
      <c r="BT103">
        <v>23</v>
      </c>
      <c r="BU103">
        <v>31</v>
      </c>
      <c r="BV103">
        <v>20</v>
      </c>
      <c r="BW103">
        <v>8</v>
      </c>
      <c r="BX103">
        <v>14</v>
      </c>
      <c r="BY103">
        <v>6</v>
      </c>
      <c r="BZ103">
        <v>12</v>
      </c>
      <c r="CA103">
        <v>10</v>
      </c>
      <c r="CB103">
        <v>85</v>
      </c>
      <c r="CC103">
        <v>84</v>
      </c>
      <c r="CD103">
        <v>84</v>
      </c>
      <c r="CE103">
        <v>84</v>
      </c>
      <c r="CF103">
        <v>84</v>
      </c>
      <c r="CG103">
        <v>84</v>
      </c>
      <c r="CH103">
        <v>85</v>
      </c>
      <c r="CI103">
        <v>85</v>
      </c>
      <c r="CJ103">
        <v>80</v>
      </c>
      <c r="CK103">
        <v>85</v>
      </c>
      <c r="CL103">
        <v>64</v>
      </c>
      <c r="CM103">
        <v>62</v>
      </c>
      <c r="CN103">
        <v>64</v>
      </c>
      <c r="CO103">
        <v>59</v>
      </c>
      <c r="CP103">
        <v>52</v>
      </c>
      <c r="CQ103">
        <v>59</v>
      </c>
      <c r="CR103">
        <v>22</v>
      </c>
    </row>
    <row r="104" spans="1:96">
      <c r="A104">
        <v>103</v>
      </c>
      <c r="B104" t="s">
        <v>606</v>
      </c>
      <c r="C104" t="s">
        <v>519</v>
      </c>
      <c r="D104" t="s">
        <v>291</v>
      </c>
      <c r="E104" t="s">
        <v>147</v>
      </c>
      <c r="F104">
        <v>85</v>
      </c>
      <c r="G104">
        <v>30</v>
      </c>
      <c r="H104" t="s">
        <v>607</v>
      </c>
      <c r="I104" t="s">
        <v>608</v>
      </c>
      <c r="J104">
        <v>53</v>
      </c>
      <c r="K104">
        <v>65</v>
      </c>
      <c r="L104">
        <v>230000</v>
      </c>
      <c r="M104" t="s">
        <v>520</v>
      </c>
      <c r="N104" t="s">
        <v>520</v>
      </c>
      <c r="O104" t="s">
        <v>609</v>
      </c>
      <c r="P104" t="s">
        <v>610</v>
      </c>
      <c r="Q104">
        <v>20</v>
      </c>
      <c r="R104">
        <v>182</v>
      </c>
      <c r="S104">
        <v>73</v>
      </c>
      <c r="T104">
        <v>1214</v>
      </c>
      <c r="U104">
        <v>267</v>
      </c>
      <c r="V104" t="s">
        <v>611</v>
      </c>
      <c r="W104">
        <v>800</v>
      </c>
      <c r="X104">
        <v>357000</v>
      </c>
      <c r="Y104" t="s">
        <v>236</v>
      </c>
      <c r="Z104">
        <v>2024</v>
      </c>
      <c r="AA104">
        <v>14</v>
      </c>
      <c r="AB104">
        <v>2022</v>
      </c>
      <c r="AC104" t="s">
        <v>103</v>
      </c>
      <c r="AD104" t="s">
        <v>104</v>
      </c>
      <c r="AE104">
        <v>2</v>
      </c>
      <c r="AF104">
        <v>2</v>
      </c>
      <c r="AG104">
        <v>1</v>
      </c>
      <c r="AH104" t="s">
        <v>103</v>
      </c>
      <c r="AI104" t="s">
        <v>612</v>
      </c>
      <c r="AJ104" t="s">
        <v>103</v>
      </c>
      <c r="AK104" t="s">
        <v>103</v>
      </c>
      <c r="AL104" t="s">
        <v>116</v>
      </c>
      <c r="AM104" t="s">
        <v>406</v>
      </c>
      <c r="AN104">
        <v>73</v>
      </c>
      <c r="AO104">
        <v>52</v>
      </c>
      <c r="AP104">
        <v>30</v>
      </c>
      <c r="AQ104">
        <v>47</v>
      </c>
      <c r="AR104">
        <v>18</v>
      </c>
      <c r="AS104">
        <v>47</v>
      </c>
      <c r="AT104">
        <v>25</v>
      </c>
      <c r="AU104">
        <v>59</v>
      </c>
      <c r="AV104">
        <v>57</v>
      </c>
      <c r="AW104">
        <v>28</v>
      </c>
      <c r="AX104">
        <v>37</v>
      </c>
      <c r="AY104">
        <v>45</v>
      </c>
      <c r="AZ104">
        <v>31</v>
      </c>
      <c r="BA104">
        <v>34</v>
      </c>
      <c r="BB104">
        <v>20</v>
      </c>
      <c r="BC104">
        <v>41</v>
      </c>
      <c r="BD104">
        <v>74</v>
      </c>
      <c r="BE104">
        <v>73</v>
      </c>
      <c r="BF104">
        <v>73</v>
      </c>
      <c r="BG104">
        <v>52</v>
      </c>
      <c r="BH104">
        <v>39</v>
      </c>
      <c r="BI104">
        <v>45</v>
      </c>
      <c r="BJ104">
        <v>34</v>
      </c>
      <c r="BK104">
        <v>47</v>
      </c>
      <c r="BL104">
        <v>56</v>
      </c>
      <c r="BM104">
        <v>42</v>
      </c>
      <c r="BN104">
        <v>27</v>
      </c>
      <c r="BO104">
        <v>13</v>
      </c>
      <c r="BP104">
        <v>60</v>
      </c>
      <c r="BQ104">
        <v>47</v>
      </c>
      <c r="BR104">
        <v>55</v>
      </c>
      <c r="BS104">
        <v>44</v>
      </c>
      <c r="BT104">
        <v>10</v>
      </c>
      <c r="BU104">
        <v>18</v>
      </c>
      <c r="BV104">
        <v>14</v>
      </c>
      <c r="BW104">
        <v>9</v>
      </c>
      <c r="BX104">
        <v>13</v>
      </c>
      <c r="BY104">
        <v>15</v>
      </c>
      <c r="BZ104">
        <v>8</v>
      </c>
      <c r="CA104">
        <v>13</v>
      </c>
      <c r="CB104">
        <v>55</v>
      </c>
      <c r="CC104">
        <v>49</v>
      </c>
      <c r="CD104">
        <v>50</v>
      </c>
      <c r="CE104">
        <v>50</v>
      </c>
      <c r="CF104">
        <v>50</v>
      </c>
      <c r="CG104">
        <v>49</v>
      </c>
      <c r="CH104">
        <v>48</v>
      </c>
      <c r="CI104">
        <v>48</v>
      </c>
      <c r="CJ104">
        <v>39</v>
      </c>
      <c r="CK104">
        <v>48</v>
      </c>
      <c r="CL104">
        <v>34</v>
      </c>
      <c r="CM104">
        <v>30</v>
      </c>
      <c r="CN104">
        <v>34</v>
      </c>
      <c r="CO104">
        <v>34</v>
      </c>
      <c r="CP104">
        <v>31</v>
      </c>
      <c r="CQ104">
        <v>34</v>
      </c>
      <c r="CR104">
        <v>18</v>
      </c>
    </row>
    <row r="105" spans="1:96">
      <c r="A105">
        <v>104</v>
      </c>
      <c r="B105" t="s">
        <v>613</v>
      </c>
      <c r="C105" t="s">
        <v>519</v>
      </c>
      <c r="D105" t="s">
        <v>311</v>
      </c>
      <c r="E105" t="s">
        <v>267</v>
      </c>
      <c r="F105">
        <v>84</v>
      </c>
      <c r="G105">
        <v>30</v>
      </c>
      <c r="H105" t="s">
        <v>614</v>
      </c>
      <c r="I105" t="s">
        <v>615</v>
      </c>
      <c r="J105">
        <v>84</v>
      </c>
      <c r="K105">
        <v>90</v>
      </c>
      <c r="L105">
        <v>66500000</v>
      </c>
      <c r="M105" t="s">
        <v>559</v>
      </c>
      <c r="N105" t="s">
        <v>311</v>
      </c>
      <c r="O105" t="s">
        <v>134</v>
      </c>
      <c r="P105" t="s">
        <v>616</v>
      </c>
      <c r="Q105">
        <v>23</v>
      </c>
      <c r="R105">
        <v>188</v>
      </c>
      <c r="S105">
        <v>81</v>
      </c>
      <c r="T105">
        <v>1971</v>
      </c>
      <c r="U105">
        <v>428</v>
      </c>
      <c r="V105" t="s">
        <v>267</v>
      </c>
      <c r="W105">
        <v>90000</v>
      </c>
      <c r="X105">
        <v>126400000</v>
      </c>
      <c r="Y105" t="s">
        <v>311</v>
      </c>
      <c r="Z105">
        <v>2024</v>
      </c>
      <c r="AA105">
        <v>17</v>
      </c>
      <c r="AB105">
        <v>2019</v>
      </c>
      <c r="AC105" t="s">
        <v>103</v>
      </c>
      <c r="AD105" t="s">
        <v>104</v>
      </c>
      <c r="AE105">
        <v>4</v>
      </c>
      <c r="AF105">
        <v>4</v>
      </c>
      <c r="AG105">
        <v>1</v>
      </c>
      <c r="AH105" t="s">
        <v>134</v>
      </c>
      <c r="AI105" t="s">
        <v>138</v>
      </c>
      <c r="AJ105" t="s">
        <v>114</v>
      </c>
      <c r="AK105">
        <v>15</v>
      </c>
      <c r="AL105" t="s">
        <v>116</v>
      </c>
      <c r="AM105" t="s">
        <v>406</v>
      </c>
      <c r="AN105">
        <v>91</v>
      </c>
      <c r="AO105">
        <v>77</v>
      </c>
      <c r="AP105">
        <v>73</v>
      </c>
      <c r="AQ105">
        <v>86</v>
      </c>
      <c r="AR105">
        <v>27</v>
      </c>
      <c r="AS105">
        <v>74</v>
      </c>
      <c r="AT105">
        <v>75</v>
      </c>
      <c r="AU105">
        <v>80</v>
      </c>
      <c r="AV105">
        <v>63</v>
      </c>
      <c r="AW105">
        <v>76</v>
      </c>
      <c r="AX105">
        <v>74</v>
      </c>
      <c r="AY105">
        <v>89</v>
      </c>
      <c r="AZ105">
        <v>80</v>
      </c>
      <c r="BA105">
        <v>60</v>
      </c>
      <c r="BB105">
        <v>63</v>
      </c>
      <c r="BC105">
        <v>86</v>
      </c>
      <c r="BD105">
        <v>90</v>
      </c>
      <c r="BE105">
        <v>92</v>
      </c>
      <c r="BF105">
        <v>82</v>
      </c>
      <c r="BG105">
        <v>83</v>
      </c>
      <c r="BH105">
        <v>80</v>
      </c>
      <c r="BI105">
        <v>80</v>
      </c>
      <c r="BJ105">
        <v>62</v>
      </c>
      <c r="BK105">
        <v>77</v>
      </c>
      <c r="BL105">
        <v>80</v>
      </c>
      <c r="BM105">
        <v>72</v>
      </c>
      <c r="BN105">
        <v>60</v>
      </c>
      <c r="BO105">
        <v>24</v>
      </c>
      <c r="BP105">
        <v>82</v>
      </c>
      <c r="BQ105">
        <v>74</v>
      </c>
      <c r="BR105">
        <v>63</v>
      </c>
      <c r="BS105">
        <v>81</v>
      </c>
      <c r="BT105">
        <v>22</v>
      </c>
      <c r="BU105">
        <v>24</v>
      </c>
      <c r="BV105">
        <v>21</v>
      </c>
      <c r="BW105">
        <v>10</v>
      </c>
      <c r="BX105">
        <v>12</v>
      </c>
      <c r="BY105">
        <v>15</v>
      </c>
      <c r="BZ105">
        <v>11</v>
      </c>
      <c r="CA105">
        <v>9</v>
      </c>
      <c r="CB105">
        <v>82</v>
      </c>
      <c r="CC105">
        <v>83</v>
      </c>
      <c r="CD105">
        <v>82</v>
      </c>
      <c r="CE105">
        <v>82</v>
      </c>
      <c r="CF105">
        <v>82</v>
      </c>
      <c r="CG105">
        <v>83</v>
      </c>
      <c r="CH105">
        <v>83</v>
      </c>
      <c r="CI105">
        <v>84</v>
      </c>
      <c r="CJ105">
        <v>74</v>
      </c>
      <c r="CK105">
        <v>84</v>
      </c>
      <c r="CL105">
        <v>61</v>
      </c>
      <c r="CM105">
        <v>56</v>
      </c>
      <c r="CN105">
        <v>61</v>
      </c>
      <c r="CO105">
        <v>57</v>
      </c>
      <c r="CP105">
        <v>48</v>
      </c>
      <c r="CQ105">
        <v>57</v>
      </c>
      <c r="CR105">
        <v>21</v>
      </c>
    </row>
    <row r="106" spans="1:96">
      <c r="A106">
        <v>105</v>
      </c>
      <c r="B106" t="s">
        <v>617</v>
      </c>
      <c r="C106" t="s">
        <v>519</v>
      </c>
      <c r="D106" t="s">
        <v>291</v>
      </c>
      <c r="E106" t="s">
        <v>405</v>
      </c>
      <c r="F106">
        <v>84</v>
      </c>
      <c r="G106">
        <v>30</v>
      </c>
      <c r="H106" t="s">
        <v>618</v>
      </c>
      <c r="I106" t="s">
        <v>619</v>
      </c>
      <c r="J106">
        <v>71</v>
      </c>
      <c r="K106">
        <v>71</v>
      </c>
      <c r="L106">
        <v>1500000</v>
      </c>
      <c r="M106" t="s">
        <v>419</v>
      </c>
      <c r="N106" t="s">
        <v>419</v>
      </c>
      <c r="O106" t="s">
        <v>199</v>
      </c>
      <c r="P106" t="s">
        <v>620</v>
      </c>
      <c r="Q106">
        <v>30</v>
      </c>
      <c r="R106">
        <v>189</v>
      </c>
      <c r="S106">
        <v>80</v>
      </c>
      <c r="T106">
        <v>1774</v>
      </c>
      <c r="U106">
        <v>376</v>
      </c>
      <c r="V106" t="s">
        <v>621</v>
      </c>
      <c r="W106">
        <v>7000</v>
      </c>
      <c r="X106">
        <v>2400000</v>
      </c>
      <c r="Y106" t="s">
        <v>114</v>
      </c>
      <c r="Z106">
        <v>2025</v>
      </c>
      <c r="AA106">
        <v>2</v>
      </c>
      <c r="AB106">
        <v>2022</v>
      </c>
      <c r="AC106" t="s">
        <v>103</v>
      </c>
      <c r="AD106" t="s">
        <v>137</v>
      </c>
      <c r="AE106">
        <v>3</v>
      </c>
      <c r="AF106">
        <v>2</v>
      </c>
      <c r="AG106">
        <v>1</v>
      </c>
      <c r="AH106" t="s">
        <v>103</v>
      </c>
      <c r="AI106" t="s">
        <v>201</v>
      </c>
      <c r="AJ106" t="s">
        <v>103</v>
      </c>
      <c r="AK106" t="s">
        <v>103</v>
      </c>
      <c r="AL106" t="s">
        <v>116</v>
      </c>
      <c r="AM106" t="s">
        <v>107</v>
      </c>
      <c r="AN106">
        <v>56</v>
      </c>
      <c r="AO106">
        <v>59</v>
      </c>
      <c r="AP106">
        <v>58</v>
      </c>
      <c r="AQ106">
        <v>60</v>
      </c>
      <c r="AR106">
        <v>71</v>
      </c>
      <c r="AS106">
        <v>72</v>
      </c>
      <c r="AT106">
        <v>48</v>
      </c>
      <c r="AU106">
        <v>55</v>
      </c>
      <c r="AV106">
        <v>70</v>
      </c>
      <c r="AW106">
        <v>67</v>
      </c>
      <c r="AX106">
        <v>72</v>
      </c>
      <c r="AY106">
        <v>54</v>
      </c>
      <c r="AZ106">
        <v>36</v>
      </c>
      <c r="BA106">
        <v>37</v>
      </c>
      <c r="BB106">
        <v>67</v>
      </c>
      <c r="BC106">
        <v>67</v>
      </c>
      <c r="BD106">
        <v>58</v>
      </c>
      <c r="BE106">
        <v>55</v>
      </c>
      <c r="BF106">
        <v>66</v>
      </c>
      <c r="BG106">
        <v>68</v>
      </c>
      <c r="BH106">
        <v>52</v>
      </c>
      <c r="BI106">
        <v>75</v>
      </c>
      <c r="BJ106">
        <v>74</v>
      </c>
      <c r="BK106">
        <v>64</v>
      </c>
      <c r="BL106">
        <v>74</v>
      </c>
      <c r="BM106">
        <v>56</v>
      </c>
      <c r="BN106">
        <v>78</v>
      </c>
      <c r="BO106">
        <v>71</v>
      </c>
      <c r="BP106">
        <v>34</v>
      </c>
      <c r="BQ106">
        <v>54</v>
      </c>
      <c r="BR106">
        <v>48</v>
      </c>
      <c r="BS106">
        <v>65</v>
      </c>
      <c r="BT106">
        <v>70</v>
      </c>
      <c r="BU106">
        <v>73</v>
      </c>
      <c r="BV106">
        <v>73</v>
      </c>
      <c r="BW106">
        <v>15</v>
      </c>
      <c r="BX106">
        <v>11</v>
      </c>
      <c r="BY106">
        <v>6</v>
      </c>
      <c r="BZ106">
        <v>14</v>
      </c>
      <c r="CA106">
        <v>12</v>
      </c>
      <c r="CB106">
        <v>62</v>
      </c>
      <c r="CC106">
        <v>57</v>
      </c>
      <c r="CD106">
        <v>58</v>
      </c>
      <c r="CE106">
        <v>58</v>
      </c>
      <c r="CF106">
        <v>58</v>
      </c>
      <c r="CG106">
        <v>57</v>
      </c>
      <c r="CH106">
        <v>60</v>
      </c>
      <c r="CI106">
        <v>59</v>
      </c>
      <c r="CJ106">
        <v>64</v>
      </c>
      <c r="CK106">
        <v>59</v>
      </c>
      <c r="CL106">
        <v>67</v>
      </c>
      <c r="CM106">
        <v>71</v>
      </c>
      <c r="CN106">
        <v>67</v>
      </c>
      <c r="CO106">
        <v>68</v>
      </c>
      <c r="CP106">
        <v>71</v>
      </c>
      <c r="CQ106">
        <v>68</v>
      </c>
      <c r="CR106">
        <v>21</v>
      </c>
    </row>
    <row r="107" spans="1:96">
      <c r="A107">
        <v>106</v>
      </c>
      <c r="B107" t="s">
        <v>622</v>
      </c>
      <c r="C107" t="s">
        <v>519</v>
      </c>
      <c r="D107" t="s">
        <v>311</v>
      </c>
      <c r="E107" t="s">
        <v>623</v>
      </c>
      <c r="F107">
        <v>84</v>
      </c>
      <c r="G107">
        <v>30</v>
      </c>
      <c r="H107" t="s">
        <v>624</v>
      </c>
      <c r="I107" t="s">
        <v>622</v>
      </c>
      <c r="J107">
        <v>81</v>
      </c>
      <c r="K107">
        <v>85</v>
      </c>
      <c r="L107">
        <v>37000000</v>
      </c>
      <c r="M107" t="s">
        <v>625</v>
      </c>
      <c r="N107" t="s">
        <v>520</v>
      </c>
      <c r="O107" t="s">
        <v>167</v>
      </c>
      <c r="P107" t="s">
        <v>626</v>
      </c>
      <c r="Q107">
        <v>24</v>
      </c>
      <c r="R107">
        <v>186</v>
      </c>
      <c r="S107">
        <v>70</v>
      </c>
      <c r="T107">
        <v>2072</v>
      </c>
      <c r="U107">
        <v>437</v>
      </c>
      <c r="V107" t="s">
        <v>110</v>
      </c>
      <c r="W107">
        <v>120000</v>
      </c>
      <c r="X107">
        <v>73100000</v>
      </c>
      <c r="Y107" t="s">
        <v>520</v>
      </c>
      <c r="Z107">
        <v>2023</v>
      </c>
      <c r="AA107">
        <v>10</v>
      </c>
      <c r="AB107">
        <v>2014</v>
      </c>
      <c r="AC107" t="s">
        <v>103</v>
      </c>
      <c r="AD107" t="s">
        <v>104</v>
      </c>
      <c r="AE107">
        <v>3</v>
      </c>
      <c r="AF107">
        <v>5</v>
      </c>
      <c r="AG107">
        <v>3</v>
      </c>
      <c r="AH107" t="s">
        <v>103</v>
      </c>
      <c r="AI107" t="s">
        <v>170</v>
      </c>
      <c r="AJ107" t="s">
        <v>103</v>
      </c>
      <c r="AK107" t="s">
        <v>103</v>
      </c>
      <c r="AL107" t="s">
        <v>116</v>
      </c>
      <c r="AM107" t="s">
        <v>406</v>
      </c>
      <c r="AN107">
        <v>87</v>
      </c>
      <c r="AO107">
        <v>82</v>
      </c>
      <c r="AP107">
        <v>75</v>
      </c>
      <c r="AQ107">
        <v>81</v>
      </c>
      <c r="AR107">
        <v>41</v>
      </c>
      <c r="AS107">
        <v>71</v>
      </c>
      <c r="AT107">
        <v>75</v>
      </c>
      <c r="AU107">
        <v>81</v>
      </c>
      <c r="AV107">
        <v>68</v>
      </c>
      <c r="AW107">
        <v>76</v>
      </c>
      <c r="AX107">
        <v>73</v>
      </c>
      <c r="AY107">
        <v>83</v>
      </c>
      <c r="AZ107">
        <v>82</v>
      </c>
      <c r="BA107">
        <v>76</v>
      </c>
      <c r="BB107">
        <v>70</v>
      </c>
      <c r="BC107">
        <v>81</v>
      </c>
      <c r="BD107">
        <v>83</v>
      </c>
      <c r="BE107">
        <v>90</v>
      </c>
      <c r="BF107">
        <v>82</v>
      </c>
      <c r="BG107">
        <v>80</v>
      </c>
      <c r="BH107">
        <v>74</v>
      </c>
      <c r="BI107">
        <v>92</v>
      </c>
      <c r="BJ107">
        <v>74</v>
      </c>
      <c r="BK107">
        <v>72</v>
      </c>
      <c r="BL107">
        <v>71</v>
      </c>
      <c r="BM107">
        <v>78</v>
      </c>
      <c r="BN107">
        <v>69</v>
      </c>
      <c r="BO107">
        <v>39</v>
      </c>
      <c r="BP107">
        <v>78</v>
      </c>
      <c r="BQ107">
        <v>76</v>
      </c>
      <c r="BR107">
        <v>85</v>
      </c>
      <c r="BS107">
        <v>75</v>
      </c>
      <c r="BT107">
        <v>40</v>
      </c>
      <c r="BU107">
        <v>38</v>
      </c>
      <c r="BV107">
        <v>33</v>
      </c>
      <c r="BW107">
        <v>11</v>
      </c>
      <c r="BX107">
        <v>6</v>
      </c>
      <c r="BY107">
        <v>15</v>
      </c>
      <c r="BZ107">
        <v>7</v>
      </c>
      <c r="CA107">
        <v>14</v>
      </c>
      <c r="CB107">
        <v>83</v>
      </c>
      <c r="CC107">
        <v>80</v>
      </c>
      <c r="CD107">
        <v>81</v>
      </c>
      <c r="CE107">
        <v>81</v>
      </c>
      <c r="CF107">
        <v>81</v>
      </c>
      <c r="CG107">
        <v>80</v>
      </c>
      <c r="CH107">
        <v>82</v>
      </c>
      <c r="CI107">
        <v>82</v>
      </c>
      <c r="CJ107">
        <v>76</v>
      </c>
      <c r="CK107">
        <v>82</v>
      </c>
      <c r="CL107">
        <v>66</v>
      </c>
      <c r="CM107">
        <v>63</v>
      </c>
      <c r="CN107">
        <v>66</v>
      </c>
      <c r="CO107">
        <v>63</v>
      </c>
      <c r="CP107">
        <v>57</v>
      </c>
      <c r="CQ107">
        <v>63</v>
      </c>
      <c r="CR107">
        <v>21</v>
      </c>
    </row>
    <row r="108" spans="1:96">
      <c r="A108">
        <v>107</v>
      </c>
      <c r="B108" t="s">
        <v>627</v>
      </c>
      <c r="C108" t="s">
        <v>519</v>
      </c>
      <c r="D108" t="s">
        <v>520</v>
      </c>
      <c r="E108" t="s">
        <v>405</v>
      </c>
      <c r="F108">
        <v>84</v>
      </c>
      <c r="G108">
        <v>30</v>
      </c>
      <c r="H108" t="s">
        <v>628</v>
      </c>
      <c r="I108" t="s">
        <v>629</v>
      </c>
      <c r="J108">
        <v>84</v>
      </c>
      <c r="K108">
        <v>91</v>
      </c>
      <c r="L108">
        <v>86500000</v>
      </c>
      <c r="M108" t="s">
        <v>520</v>
      </c>
      <c r="N108" t="s">
        <v>520</v>
      </c>
      <c r="O108" t="s">
        <v>193</v>
      </c>
      <c r="P108" t="s">
        <v>630</v>
      </c>
      <c r="Q108">
        <v>22</v>
      </c>
      <c r="R108">
        <v>190</v>
      </c>
      <c r="S108">
        <v>75</v>
      </c>
      <c r="T108">
        <v>1912</v>
      </c>
      <c r="U108">
        <v>416</v>
      </c>
      <c r="V108" t="s">
        <v>405</v>
      </c>
      <c r="W108">
        <v>140000</v>
      </c>
      <c r="X108">
        <v>164400000</v>
      </c>
      <c r="Y108" t="s">
        <v>520</v>
      </c>
      <c r="Z108">
        <v>2026</v>
      </c>
      <c r="AA108">
        <v>9</v>
      </c>
      <c r="AB108">
        <v>2022</v>
      </c>
      <c r="AC108" t="s">
        <v>103</v>
      </c>
      <c r="AD108" t="s">
        <v>137</v>
      </c>
      <c r="AE108">
        <v>3</v>
      </c>
      <c r="AF108">
        <v>3</v>
      </c>
      <c r="AG108">
        <v>2</v>
      </c>
      <c r="AH108" t="s">
        <v>103</v>
      </c>
      <c r="AI108" t="s">
        <v>103</v>
      </c>
      <c r="AJ108" t="s">
        <v>103</v>
      </c>
      <c r="AK108" t="s">
        <v>103</v>
      </c>
      <c r="AL108" t="s">
        <v>116</v>
      </c>
      <c r="AM108" t="s">
        <v>116</v>
      </c>
      <c r="AN108">
        <v>80</v>
      </c>
      <c r="AO108">
        <v>85</v>
      </c>
      <c r="AP108">
        <v>66</v>
      </c>
      <c r="AQ108">
        <v>78</v>
      </c>
      <c r="AR108">
        <v>28</v>
      </c>
      <c r="AS108">
        <v>79</v>
      </c>
      <c r="AT108">
        <v>57</v>
      </c>
      <c r="AU108">
        <v>88</v>
      </c>
      <c r="AV108">
        <v>77</v>
      </c>
      <c r="AW108">
        <v>73</v>
      </c>
      <c r="AX108">
        <v>78</v>
      </c>
      <c r="AY108">
        <v>80</v>
      </c>
      <c r="AZ108">
        <v>69</v>
      </c>
      <c r="BA108">
        <v>59</v>
      </c>
      <c r="BB108">
        <v>59</v>
      </c>
      <c r="BC108">
        <v>85</v>
      </c>
      <c r="BD108">
        <v>77</v>
      </c>
      <c r="BE108">
        <v>82</v>
      </c>
      <c r="BF108">
        <v>61</v>
      </c>
      <c r="BG108">
        <v>85</v>
      </c>
      <c r="BH108">
        <v>52</v>
      </c>
      <c r="BI108">
        <v>84</v>
      </c>
      <c r="BJ108">
        <v>68</v>
      </c>
      <c r="BK108">
        <v>79</v>
      </c>
      <c r="BL108">
        <v>88</v>
      </c>
      <c r="BM108">
        <v>82</v>
      </c>
      <c r="BN108">
        <v>60</v>
      </c>
      <c r="BO108">
        <v>24</v>
      </c>
      <c r="BP108">
        <v>88</v>
      </c>
      <c r="BQ108">
        <v>68</v>
      </c>
      <c r="BR108">
        <v>73</v>
      </c>
      <c r="BS108">
        <v>80</v>
      </c>
      <c r="BT108">
        <v>19</v>
      </c>
      <c r="BU108">
        <v>26</v>
      </c>
      <c r="BV108">
        <v>24</v>
      </c>
      <c r="BW108">
        <v>5</v>
      </c>
      <c r="BX108">
        <v>15</v>
      </c>
      <c r="BY108">
        <v>6</v>
      </c>
      <c r="BZ108">
        <v>11</v>
      </c>
      <c r="CA108">
        <v>10</v>
      </c>
      <c r="CB108">
        <v>86</v>
      </c>
      <c r="CC108">
        <v>79</v>
      </c>
      <c r="CD108">
        <v>82</v>
      </c>
      <c r="CE108">
        <v>82</v>
      </c>
      <c r="CF108">
        <v>82</v>
      </c>
      <c r="CG108">
        <v>79</v>
      </c>
      <c r="CH108">
        <v>80</v>
      </c>
      <c r="CI108">
        <v>79</v>
      </c>
      <c r="CJ108">
        <v>73</v>
      </c>
      <c r="CK108">
        <v>79</v>
      </c>
      <c r="CL108">
        <v>58</v>
      </c>
      <c r="CM108">
        <v>56</v>
      </c>
      <c r="CN108">
        <v>58</v>
      </c>
      <c r="CO108">
        <v>55</v>
      </c>
      <c r="CP108">
        <v>50</v>
      </c>
      <c r="CQ108">
        <v>55</v>
      </c>
      <c r="CR108">
        <v>20</v>
      </c>
    </row>
    <row r="109" spans="1:96">
      <c r="A109">
        <v>108</v>
      </c>
      <c r="B109" t="s">
        <v>631</v>
      </c>
      <c r="C109" t="s">
        <v>519</v>
      </c>
      <c r="D109" t="s">
        <v>311</v>
      </c>
      <c r="E109" t="s">
        <v>98</v>
      </c>
      <c r="F109">
        <v>84</v>
      </c>
      <c r="G109">
        <v>30</v>
      </c>
      <c r="H109" t="s">
        <v>632</v>
      </c>
      <c r="I109" t="s">
        <v>631</v>
      </c>
      <c r="J109">
        <v>84</v>
      </c>
      <c r="K109">
        <v>84</v>
      </c>
      <c r="L109">
        <v>46000000</v>
      </c>
      <c r="M109" t="s">
        <v>633</v>
      </c>
      <c r="N109" t="s">
        <v>311</v>
      </c>
      <c r="O109" t="s">
        <v>167</v>
      </c>
      <c r="P109" t="s">
        <v>634</v>
      </c>
      <c r="Q109">
        <v>26</v>
      </c>
      <c r="R109">
        <v>180</v>
      </c>
      <c r="S109">
        <v>81</v>
      </c>
      <c r="T109">
        <v>2017</v>
      </c>
      <c r="U109">
        <v>437</v>
      </c>
      <c r="V109" t="s">
        <v>98</v>
      </c>
      <c r="W109">
        <v>185000</v>
      </c>
      <c r="X109">
        <v>85100000</v>
      </c>
      <c r="Y109" t="s">
        <v>114</v>
      </c>
      <c r="Z109">
        <v>2027</v>
      </c>
      <c r="AA109">
        <v>10</v>
      </c>
      <c r="AB109">
        <v>2021</v>
      </c>
      <c r="AC109" t="s">
        <v>103</v>
      </c>
      <c r="AD109" t="s">
        <v>104</v>
      </c>
      <c r="AE109">
        <v>3</v>
      </c>
      <c r="AF109">
        <v>4</v>
      </c>
      <c r="AG109">
        <v>3</v>
      </c>
      <c r="AH109" t="s">
        <v>167</v>
      </c>
      <c r="AI109" t="s">
        <v>170</v>
      </c>
      <c r="AJ109" t="s">
        <v>114</v>
      </c>
      <c r="AK109">
        <v>10</v>
      </c>
      <c r="AL109" t="s">
        <v>107</v>
      </c>
      <c r="AM109" t="s">
        <v>116</v>
      </c>
      <c r="AN109">
        <v>76</v>
      </c>
      <c r="AO109">
        <v>76</v>
      </c>
      <c r="AP109">
        <v>83</v>
      </c>
      <c r="AQ109">
        <v>87</v>
      </c>
      <c r="AR109">
        <v>46</v>
      </c>
      <c r="AS109">
        <v>69</v>
      </c>
      <c r="AT109">
        <v>82</v>
      </c>
      <c r="AU109">
        <v>76</v>
      </c>
      <c r="AV109">
        <v>36</v>
      </c>
      <c r="AW109">
        <v>84</v>
      </c>
      <c r="AX109">
        <v>72</v>
      </c>
      <c r="AY109">
        <v>88</v>
      </c>
      <c r="AZ109">
        <v>78</v>
      </c>
      <c r="BA109">
        <v>74</v>
      </c>
      <c r="BB109">
        <v>81</v>
      </c>
      <c r="BC109">
        <v>87</v>
      </c>
      <c r="BD109">
        <v>78</v>
      </c>
      <c r="BE109">
        <v>75</v>
      </c>
      <c r="BF109">
        <v>84</v>
      </c>
      <c r="BG109">
        <v>81</v>
      </c>
      <c r="BH109">
        <v>84</v>
      </c>
      <c r="BI109">
        <v>76</v>
      </c>
      <c r="BJ109">
        <v>32</v>
      </c>
      <c r="BK109">
        <v>80</v>
      </c>
      <c r="BL109">
        <v>70</v>
      </c>
      <c r="BM109">
        <v>79</v>
      </c>
      <c r="BN109">
        <v>60</v>
      </c>
      <c r="BO109">
        <v>44</v>
      </c>
      <c r="BP109">
        <v>81</v>
      </c>
      <c r="BQ109">
        <v>86</v>
      </c>
      <c r="BR109">
        <v>58</v>
      </c>
      <c r="BS109">
        <v>88</v>
      </c>
      <c r="BT109">
        <v>48</v>
      </c>
      <c r="BU109">
        <v>49</v>
      </c>
      <c r="BV109">
        <v>43</v>
      </c>
      <c r="BW109">
        <v>11</v>
      </c>
      <c r="BX109">
        <v>6</v>
      </c>
      <c r="BY109">
        <v>11</v>
      </c>
      <c r="BZ109">
        <v>10</v>
      </c>
      <c r="CA109">
        <v>13</v>
      </c>
      <c r="CB109">
        <v>78</v>
      </c>
      <c r="CC109">
        <v>83</v>
      </c>
      <c r="CD109">
        <v>81</v>
      </c>
      <c r="CE109">
        <v>81</v>
      </c>
      <c r="CF109">
        <v>81</v>
      </c>
      <c r="CG109">
        <v>83</v>
      </c>
      <c r="CH109">
        <v>84</v>
      </c>
      <c r="CI109">
        <v>84</v>
      </c>
      <c r="CJ109">
        <v>83</v>
      </c>
      <c r="CK109">
        <v>84</v>
      </c>
      <c r="CL109">
        <v>71</v>
      </c>
      <c r="CM109">
        <v>70</v>
      </c>
      <c r="CN109">
        <v>71</v>
      </c>
      <c r="CO109">
        <v>66</v>
      </c>
      <c r="CP109">
        <v>57</v>
      </c>
      <c r="CQ109">
        <v>66</v>
      </c>
      <c r="CR109">
        <v>21</v>
      </c>
    </row>
    <row r="110" spans="1:96">
      <c r="A110">
        <v>109</v>
      </c>
      <c r="B110" t="s">
        <v>635</v>
      </c>
      <c r="C110" t="s">
        <v>519</v>
      </c>
      <c r="D110" t="s">
        <v>242</v>
      </c>
      <c r="E110" t="s">
        <v>426</v>
      </c>
      <c r="F110">
        <v>84</v>
      </c>
      <c r="G110">
        <v>30</v>
      </c>
      <c r="H110" t="s">
        <v>636</v>
      </c>
      <c r="I110" t="s">
        <v>637</v>
      </c>
      <c r="J110">
        <v>84</v>
      </c>
      <c r="K110">
        <v>85</v>
      </c>
      <c r="L110">
        <v>49500000</v>
      </c>
      <c r="M110" t="s">
        <v>291</v>
      </c>
      <c r="N110" t="s">
        <v>291</v>
      </c>
      <c r="O110" t="s">
        <v>127</v>
      </c>
      <c r="P110" t="s">
        <v>638</v>
      </c>
      <c r="Q110">
        <v>26</v>
      </c>
      <c r="R110">
        <v>183</v>
      </c>
      <c r="S110">
        <v>80</v>
      </c>
      <c r="T110">
        <v>2086</v>
      </c>
      <c r="U110">
        <v>438</v>
      </c>
      <c r="V110" t="s">
        <v>151</v>
      </c>
      <c r="W110">
        <v>90000</v>
      </c>
      <c r="X110">
        <v>85400000</v>
      </c>
      <c r="Y110" t="s">
        <v>291</v>
      </c>
      <c r="Z110">
        <v>2025</v>
      </c>
      <c r="AA110">
        <v>10</v>
      </c>
      <c r="AB110">
        <v>2020</v>
      </c>
      <c r="AC110" t="s">
        <v>103</v>
      </c>
      <c r="AD110" t="s">
        <v>137</v>
      </c>
      <c r="AE110">
        <v>2</v>
      </c>
      <c r="AF110">
        <v>4</v>
      </c>
      <c r="AG110">
        <v>3</v>
      </c>
      <c r="AH110" t="s">
        <v>127</v>
      </c>
      <c r="AI110" t="s">
        <v>129</v>
      </c>
      <c r="AJ110" t="s">
        <v>291</v>
      </c>
      <c r="AK110">
        <v>19</v>
      </c>
      <c r="AL110" t="s">
        <v>116</v>
      </c>
      <c r="AM110" t="s">
        <v>116</v>
      </c>
      <c r="AN110">
        <v>88</v>
      </c>
      <c r="AO110">
        <v>81</v>
      </c>
      <c r="AP110">
        <v>80</v>
      </c>
      <c r="AQ110">
        <v>85</v>
      </c>
      <c r="AR110">
        <v>38</v>
      </c>
      <c r="AS110">
        <v>66</v>
      </c>
      <c r="AT110">
        <v>82</v>
      </c>
      <c r="AU110">
        <v>80</v>
      </c>
      <c r="AV110">
        <v>72</v>
      </c>
      <c r="AW110">
        <v>82</v>
      </c>
      <c r="AX110">
        <v>84</v>
      </c>
      <c r="AY110">
        <v>86</v>
      </c>
      <c r="AZ110">
        <v>84</v>
      </c>
      <c r="BA110">
        <v>83</v>
      </c>
      <c r="BB110">
        <v>70</v>
      </c>
      <c r="BC110">
        <v>85</v>
      </c>
      <c r="BD110">
        <v>89</v>
      </c>
      <c r="BE110">
        <v>88</v>
      </c>
      <c r="BF110">
        <v>87</v>
      </c>
      <c r="BG110">
        <v>82</v>
      </c>
      <c r="BH110">
        <v>81</v>
      </c>
      <c r="BI110">
        <v>86</v>
      </c>
      <c r="BJ110">
        <v>64</v>
      </c>
      <c r="BK110">
        <v>70</v>
      </c>
      <c r="BL110">
        <v>66</v>
      </c>
      <c r="BM110">
        <v>80</v>
      </c>
      <c r="BN110">
        <v>63</v>
      </c>
      <c r="BO110">
        <v>34</v>
      </c>
      <c r="BP110">
        <v>81</v>
      </c>
      <c r="BQ110">
        <v>81</v>
      </c>
      <c r="BR110">
        <v>71</v>
      </c>
      <c r="BS110">
        <v>82</v>
      </c>
      <c r="BT110">
        <v>36</v>
      </c>
      <c r="BU110">
        <v>32</v>
      </c>
      <c r="BV110">
        <v>35</v>
      </c>
      <c r="BW110">
        <v>8</v>
      </c>
      <c r="BX110">
        <v>12</v>
      </c>
      <c r="BY110">
        <v>9</v>
      </c>
      <c r="BZ110">
        <v>9</v>
      </c>
      <c r="CA110">
        <v>14</v>
      </c>
      <c r="CB110">
        <v>84</v>
      </c>
      <c r="CC110">
        <v>84</v>
      </c>
      <c r="CD110">
        <v>83</v>
      </c>
      <c r="CE110">
        <v>83</v>
      </c>
      <c r="CF110">
        <v>83</v>
      </c>
      <c r="CG110">
        <v>84</v>
      </c>
      <c r="CH110">
        <v>85</v>
      </c>
      <c r="CI110">
        <v>85</v>
      </c>
      <c r="CJ110">
        <v>78</v>
      </c>
      <c r="CK110">
        <v>85</v>
      </c>
      <c r="CL110">
        <v>67</v>
      </c>
      <c r="CM110">
        <v>63</v>
      </c>
      <c r="CN110">
        <v>67</v>
      </c>
      <c r="CO110">
        <v>63</v>
      </c>
      <c r="CP110">
        <v>55</v>
      </c>
      <c r="CQ110">
        <v>63</v>
      </c>
      <c r="CR110">
        <v>21</v>
      </c>
    </row>
    <row r="111" spans="1:96">
      <c r="A111">
        <v>110</v>
      </c>
      <c r="B111" t="s">
        <v>639</v>
      </c>
      <c r="C111" t="s">
        <v>519</v>
      </c>
      <c r="D111" t="s">
        <v>291</v>
      </c>
      <c r="E111" t="s">
        <v>182</v>
      </c>
      <c r="F111">
        <v>84</v>
      </c>
      <c r="G111">
        <v>30</v>
      </c>
      <c r="H111" t="s">
        <v>640</v>
      </c>
      <c r="I111" t="s">
        <v>639</v>
      </c>
      <c r="J111">
        <v>84</v>
      </c>
      <c r="K111">
        <v>87</v>
      </c>
      <c r="L111">
        <v>56000000</v>
      </c>
      <c r="M111" t="s">
        <v>559</v>
      </c>
      <c r="N111" t="s">
        <v>242</v>
      </c>
      <c r="O111" t="s">
        <v>641</v>
      </c>
      <c r="P111" t="s">
        <v>642</v>
      </c>
      <c r="Q111">
        <v>25</v>
      </c>
      <c r="R111">
        <v>180</v>
      </c>
      <c r="S111">
        <v>73</v>
      </c>
      <c r="T111">
        <v>2049</v>
      </c>
      <c r="U111">
        <v>440</v>
      </c>
      <c r="V111" t="s">
        <v>182</v>
      </c>
      <c r="W111">
        <v>155000</v>
      </c>
      <c r="X111">
        <v>107800000</v>
      </c>
      <c r="Y111" t="s">
        <v>311</v>
      </c>
      <c r="Z111">
        <v>2027</v>
      </c>
      <c r="AA111">
        <v>23</v>
      </c>
      <c r="AB111">
        <v>2022</v>
      </c>
      <c r="AC111" t="s">
        <v>103</v>
      </c>
      <c r="AD111" t="s">
        <v>104</v>
      </c>
      <c r="AE111">
        <v>4</v>
      </c>
      <c r="AF111">
        <v>4</v>
      </c>
      <c r="AG111">
        <v>1</v>
      </c>
      <c r="AH111" t="s">
        <v>103</v>
      </c>
      <c r="AI111" t="s">
        <v>643</v>
      </c>
      <c r="AJ111" t="s">
        <v>103</v>
      </c>
      <c r="AK111" t="s">
        <v>103</v>
      </c>
      <c r="AL111" t="s">
        <v>107</v>
      </c>
      <c r="AM111" t="s">
        <v>116</v>
      </c>
      <c r="AN111">
        <v>91</v>
      </c>
      <c r="AO111">
        <v>80</v>
      </c>
      <c r="AP111">
        <v>75</v>
      </c>
      <c r="AQ111">
        <v>87</v>
      </c>
      <c r="AR111">
        <v>34</v>
      </c>
      <c r="AS111">
        <v>73</v>
      </c>
      <c r="AT111">
        <v>76</v>
      </c>
      <c r="AU111">
        <v>80</v>
      </c>
      <c r="AV111">
        <v>62</v>
      </c>
      <c r="AW111">
        <v>76</v>
      </c>
      <c r="AX111">
        <v>74</v>
      </c>
      <c r="AY111">
        <v>89</v>
      </c>
      <c r="AZ111">
        <v>75</v>
      </c>
      <c r="BA111">
        <v>58</v>
      </c>
      <c r="BB111">
        <v>71</v>
      </c>
      <c r="BC111">
        <v>87</v>
      </c>
      <c r="BD111">
        <v>92</v>
      </c>
      <c r="BE111">
        <v>91</v>
      </c>
      <c r="BF111">
        <v>88</v>
      </c>
      <c r="BG111">
        <v>83</v>
      </c>
      <c r="BH111">
        <v>75</v>
      </c>
      <c r="BI111">
        <v>84</v>
      </c>
      <c r="BJ111">
        <v>73</v>
      </c>
      <c r="BK111">
        <v>84</v>
      </c>
      <c r="BL111">
        <v>69</v>
      </c>
      <c r="BM111">
        <v>82</v>
      </c>
      <c r="BN111">
        <v>70</v>
      </c>
      <c r="BO111">
        <v>25</v>
      </c>
      <c r="BP111">
        <v>81</v>
      </c>
      <c r="BQ111">
        <v>77</v>
      </c>
      <c r="BR111">
        <v>63</v>
      </c>
      <c r="BS111">
        <v>83</v>
      </c>
      <c r="BT111">
        <v>28</v>
      </c>
      <c r="BU111">
        <v>38</v>
      </c>
      <c r="BV111">
        <v>34</v>
      </c>
      <c r="BW111">
        <v>10</v>
      </c>
      <c r="BX111">
        <v>13</v>
      </c>
      <c r="BY111">
        <v>13</v>
      </c>
      <c r="BZ111">
        <v>14</v>
      </c>
      <c r="CA111">
        <v>14</v>
      </c>
      <c r="CB111">
        <v>83</v>
      </c>
      <c r="CC111">
        <v>84</v>
      </c>
      <c r="CD111">
        <v>83</v>
      </c>
      <c r="CE111">
        <v>83</v>
      </c>
      <c r="CF111">
        <v>83</v>
      </c>
      <c r="CG111">
        <v>84</v>
      </c>
      <c r="CH111">
        <v>84</v>
      </c>
      <c r="CI111">
        <v>85</v>
      </c>
      <c r="CJ111">
        <v>77</v>
      </c>
      <c r="CK111">
        <v>85</v>
      </c>
      <c r="CL111">
        <v>65</v>
      </c>
      <c r="CM111">
        <v>61</v>
      </c>
      <c r="CN111">
        <v>65</v>
      </c>
      <c r="CO111">
        <v>61</v>
      </c>
      <c r="CP111">
        <v>52</v>
      </c>
      <c r="CQ111">
        <v>61</v>
      </c>
      <c r="CR111">
        <v>22</v>
      </c>
    </row>
    <row r="112" spans="1:96">
      <c r="A112">
        <v>111</v>
      </c>
      <c r="B112" t="s">
        <v>644</v>
      </c>
      <c r="C112" t="s">
        <v>519</v>
      </c>
      <c r="D112" t="s">
        <v>136</v>
      </c>
      <c r="E112" t="s">
        <v>140</v>
      </c>
      <c r="F112">
        <v>84</v>
      </c>
      <c r="G112">
        <v>30</v>
      </c>
      <c r="H112" t="s">
        <v>645</v>
      </c>
      <c r="I112" t="s">
        <v>646</v>
      </c>
      <c r="J112">
        <v>83</v>
      </c>
      <c r="K112">
        <v>86</v>
      </c>
      <c r="L112">
        <v>48000000</v>
      </c>
      <c r="M112" t="s">
        <v>647</v>
      </c>
      <c r="N112" t="s">
        <v>291</v>
      </c>
      <c r="O112" t="s">
        <v>319</v>
      </c>
      <c r="P112" t="s">
        <v>648</v>
      </c>
      <c r="Q112">
        <v>25</v>
      </c>
      <c r="R112">
        <v>178</v>
      </c>
      <c r="S112">
        <v>67</v>
      </c>
      <c r="T112">
        <v>2002</v>
      </c>
      <c r="U112">
        <v>428</v>
      </c>
      <c r="V112" t="s">
        <v>144</v>
      </c>
      <c r="W112">
        <v>180000</v>
      </c>
      <c r="X112">
        <v>102000000</v>
      </c>
      <c r="Y112" t="s">
        <v>136</v>
      </c>
      <c r="Z112">
        <v>2024</v>
      </c>
      <c r="AA112">
        <v>7</v>
      </c>
      <c r="AB112">
        <v>2017</v>
      </c>
      <c r="AC112" t="s">
        <v>103</v>
      </c>
      <c r="AD112" t="s">
        <v>137</v>
      </c>
      <c r="AE112">
        <v>5</v>
      </c>
      <c r="AF112">
        <v>5</v>
      </c>
      <c r="AG112">
        <v>3</v>
      </c>
      <c r="AH112" t="s">
        <v>103</v>
      </c>
      <c r="AI112" t="s">
        <v>321</v>
      </c>
      <c r="AJ112" t="s">
        <v>103</v>
      </c>
      <c r="AK112" t="s">
        <v>103</v>
      </c>
      <c r="AL112" t="s">
        <v>107</v>
      </c>
      <c r="AM112" t="s">
        <v>116</v>
      </c>
      <c r="AN112">
        <v>93</v>
      </c>
      <c r="AO112">
        <v>77</v>
      </c>
      <c r="AP112">
        <v>79</v>
      </c>
      <c r="AQ112">
        <v>87</v>
      </c>
      <c r="AR112">
        <v>36</v>
      </c>
      <c r="AS112">
        <v>56</v>
      </c>
      <c r="AT112">
        <v>85</v>
      </c>
      <c r="AU112">
        <v>75</v>
      </c>
      <c r="AV112">
        <v>43</v>
      </c>
      <c r="AW112">
        <v>78</v>
      </c>
      <c r="AX112">
        <v>76</v>
      </c>
      <c r="AY112">
        <v>89</v>
      </c>
      <c r="AZ112">
        <v>82</v>
      </c>
      <c r="BA112">
        <v>64</v>
      </c>
      <c r="BB112">
        <v>76</v>
      </c>
      <c r="BC112">
        <v>85</v>
      </c>
      <c r="BD112">
        <v>94</v>
      </c>
      <c r="BE112">
        <v>93</v>
      </c>
      <c r="BF112">
        <v>90</v>
      </c>
      <c r="BG112">
        <v>78</v>
      </c>
      <c r="BH112">
        <v>81</v>
      </c>
      <c r="BI112">
        <v>83</v>
      </c>
      <c r="BJ112">
        <v>58</v>
      </c>
      <c r="BK112">
        <v>68</v>
      </c>
      <c r="BL112">
        <v>51</v>
      </c>
      <c r="BM112">
        <v>76</v>
      </c>
      <c r="BN112">
        <v>54</v>
      </c>
      <c r="BO112">
        <v>36</v>
      </c>
      <c r="BP112">
        <v>77</v>
      </c>
      <c r="BQ112">
        <v>81</v>
      </c>
      <c r="BR112">
        <v>75</v>
      </c>
      <c r="BS112">
        <v>80</v>
      </c>
      <c r="BT112">
        <v>42</v>
      </c>
      <c r="BU112">
        <v>30</v>
      </c>
      <c r="BV112">
        <v>33</v>
      </c>
      <c r="BW112">
        <v>6</v>
      </c>
      <c r="BX112">
        <v>6</v>
      </c>
      <c r="BY112">
        <v>14</v>
      </c>
      <c r="BZ112">
        <v>10</v>
      </c>
      <c r="CA112">
        <v>13</v>
      </c>
      <c r="CB112">
        <v>79</v>
      </c>
      <c r="CC112">
        <v>83</v>
      </c>
      <c r="CD112">
        <v>81</v>
      </c>
      <c r="CE112">
        <v>81</v>
      </c>
      <c r="CF112">
        <v>81</v>
      </c>
      <c r="CG112">
        <v>83</v>
      </c>
      <c r="CH112">
        <v>85</v>
      </c>
      <c r="CI112">
        <v>86</v>
      </c>
      <c r="CJ112">
        <v>78</v>
      </c>
      <c r="CK112">
        <v>86</v>
      </c>
      <c r="CL112">
        <v>67</v>
      </c>
      <c r="CM112">
        <v>62</v>
      </c>
      <c r="CN112">
        <v>67</v>
      </c>
      <c r="CO112">
        <v>62</v>
      </c>
      <c r="CP112">
        <v>50</v>
      </c>
      <c r="CQ112">
        <v>62</v>
      </c>
      <c r="CR112">
        <v>20</v>
      </c>
    </row>
    <row r="113" spans="1:96">
      <c r="A113">
        <v>112</v>
      </c>
      <c r="B113" t="s">
        <v>649</v>
      </c>
      <c r="C113" t="s">
        <v>519</v>
      </c>
      <c r="D113" t="s">
        <v>136</v>
      </c>
      <c r="E113" t="s">
        <v>217</v>
      </c>
      <c r="F113">
        <v>84</v>
      </c>
      <c r="G113">
        <v>30</v>
      </c>
      <c r="H113" t="s">
        <v>650</v>
      </c>
      <c r="I113" t="s">
        <v>649</v>
      </c>
      <c r="J113">
        <v>82</v>
      </c>
      <c r="K113">
        <v>89</v>
      </c>
      <c r="L113">
        <v>60500000</v>
      </c>
      <c r="M113" t="s">
        <v>651</v>
      </c>
      <c r="N113" t="s">
        <v>291</v>
      </c>
      <c r="O113" t="s">
        <v>167</v>
      </c>
      <c r="P113" t="s">
        <v>652</v>
      </c>
      <c r="Q113">
        <v>20</v>
      </c>
      <c r="R113">
        <v>178</v>
      </c>
      <c r="S113">
        <v>65</v>
      </c>
      <c r="T113">
        <v>2101</v>
      </c>
      <c r="U113">
        <v>449</v>
      </c>
      <c r="V113" t="s">
        <v>217</v>
      </c>
      <c r="W113">
        <v>76000</v>
      </c>
      <c r="X113">
        <v>127100000</v>
      </c>
      <c r="Y113" t="s">
        <v>242</v>
      </c>
      <c r="Z113">
        <v>2024</v>
      </c>
      <c r="AA113">
        <v>7</v>
      </c>
      <c r="AB113">
        <v>2018</v>
      </c>
      <c r="AC113" t="s">
        <v>103</v>
      </c>
      <c r="AD113" t="s">
        <v>137</v>
      </c>
      <c r="AE113">
        <v>3</v>
      </c>
      <c r="AF113">
        <v>3</v>
      </c>
      <c r="AG113">
        <v>2</v>
      </c>
      <c r="AH113" t="s">
        <v>167</v>
      </c>
      <c r="AI113" t="s">
        <v>170</v>
      </c>
      <c r="AJ113" t="s">
        <v>114</v>
      </c>
      <c r="AK113">
        <v>11</v>
      </c>
      <c r="AL113" t="s">
        <v>107</v>
      </c>
      <c r="AM113" t="s">
        <v>116</v>
      </c>
      <c r="AN113">
        <v>84</v>
      </c>
      <c r="AO113">
        <v>74</v>
      </c>
      <c r="AP113">
        <v>78</v>
      </c>
      <c r="AQ113">
        <v>83</v>
      </c>
      <c r="AR113">
        <v>65</v>
      </c>
      <c r="AS113">
        <v>65</v>
      </c>
      <c r="AT113">
        <v>81</v>
      </c>
      <c r="AU113">
        <v>77</v>
      </c>
      <c r="AV113">
        <v>45</v>
      </c>
      <c r="AW113">
        <v>80</v>
      </c>
      <c r="AX113">
        <v>70</v>
      </c>
      <c r="AY113">
        <v>84</v>
      </c>
      <c r="AZ113">
        <v>80</v>
      </c>
      <c r="BA113">
        <v>69</v>
      </c>
      <c r="BB113">
        <v>65</v>
      </c>
      <c r="BC113">
        <v>82</v>
      </c>
      <c r="BD113">
        <v>87</v>
      </c>
      <c r="BE113">
        <v>82</v>
      </c>
      <c r="BF113">
        <v>83</v>
      </c>
      <c r="BG113">
        <v>82</v>
      </c>
      <c r="BH113">
        <v>83</v>
      </c>
      <c r="BI113">
        <v>72</v>
      </c>
      <c r="BJ113">
        <v>54</v>
      </c>
      <c r="BK113">
        <v>80</v>
      </c>
      <c r="BL113">
        <v>58</v>
      </c>
      <c r="BM113">
        <v>69</v>
      </c>
      <c r="BN113">
        <v>66</v>
      </c>
      <c r="BO113">
        <v>68</v>
      </c>
      <c r="BP113">
        <v>82</v>
      </c>
      <c r="BQ113">
        <v>81</v>
      </c>
      <c r="BR113">
        <v>70</v>
      </c>
      <c r="BS113">
        <v>79</v>
      </c>
      <c r="BT113">
        <v>65</v>
      </c>
      <c r="BU113">
        <v>69</v>
      </c>
      <c r="BV113">
        <v>67</v>
      </c>
      <c r="BW113">
        <v>7</v>
      </c>
      <c r="BX113">
        <v>8</v>
      </c>
      <c r="BY113">
        <v>13</v>
      </c>
      <c r="BZ113">
        <v>9</v>
      </c>
      <c r="CA113">
        <v>13</v>
      </c>
      <c r="CB113">
        <v>77</v>
      </c>
      <c r="CC113">
        <v>81</v>
      </c>
      <c r="CD113">
        <v>80</v>
      </c>
      <c r="CE113">
        <v>80</v>
      </c>
      <c r="CF113">
        <v>80</v>
      </c>
      <c r="CG113">
        <v>81</v>
      </c>
      <c r="CH113">
        <v>82</v>
      </c>
      <c r="CI113">
        <v>83</v>
      </c>
      <c r="CJ113">
        <v>79</v>
      </c>
      <c r="CK113">
        <v>83</v>
      </c>
      <c r="CL113">
        <v>78</v>
      </c>
      <c r="CM113">
        <v>74</v>
      </c>
      <c r="CN113">
        <v>78</v>
      </c>
      <c r="CO113">
        <v>76</v>
      </c>
      <c r="CP113">
        <v>68</v>
      </c>
      <c r="CQ113">
        <v>76</v>
      </c>
      <c r="CR113">
        <v>19</v>
      </c>
    </row>
    <row r="114" spans="1:96">
      <c r="A114">
        <v>113</v>
      </c>
      <c r="B114" t="s">
        <v>653</v>
      </c>
      <c r="C114" t="s">
        <v>519</v>
      </c>
      <c r="D114" t="s">
        <v>311</v>
      </c>
      <c r="E114" t="s">
        <v>110</v>
      </c>
      <c r="F114">
        <v>83</v>
      </c>
      <c r="G114">
        <v>20</v>
      </c>
      <c r="H114" t="s">
        <v>654</v>
      </c>
      <c r="I114" t="s">
        <v>653</v>
      </c>
      <c r="J114">
        <v>84</v>
      </c>
      <c r="K114">
        <v>88</v>
      </c>
      <c r="L114">
        <v>61500000</v>
      </c>
      <c r="M114" t="s">
        <v>655</v>
      </c>
      <c r="N114" t="s">
        <v>133</v>
      </c>
      <c r="O114" t="s">
        <v>167</v>
      </c>
      <c r="P114" t="s">
        <v>656</v>
      </c>
      <c r="Q114">
        <v>22</v>
      </c>
      <c r="R114">
        <v>180</v>
      </c>
      <c r="S114">
        <v>76</v>
      </c>
      <c r="T114">
        <v>1977</v>
      </c>
      <c r="U114">
        <v>420</v>
      </c>
      <c r="V114" t="s">
        <v>110</v>
      </c>
      <c r="W114">
        <v>155000</v>
      </c>
      <c r="X114">
        <v>121500000</v>
      </c>
      <c r="Y114" t="s">
        <v>291</v>
      </c>
      <c r="Z114">
        <v>2026</v>
      </c>
      <c r="AA114">
        <v>25</v>
      </c>
      <c r="AB114">
        <v>2021</v>
      </c>
      <c r="AC114" t="s">
        <v>103</v>
      </c>
      <c r="AD114" t="s">
        <v>104</v>
      </c>
      <c r="AE114">
        <v>3</v>
      </c>
      <c r="AF114">
        <v>5</v>
      </c>
      <c r="AG114">
        <v>3</v>
      </c>
      <c r="AH114" t="s">
        <v>167</v>
      </c>
      <c r="AI114" t="s">
        <v>170</v>
      </c>
      <c r="AJ114" t="s">
        <v>114</v>
      </c>
      <c r="AK114">
        <v>17</v>
      </c>
      <c r="AL114" t="s">
        <v>107</v>
      </c>
      <c r="AM114" t="s">
        <v>116</v>
      </c>
      <c r="AN114">
        <v>81</v>
      </c>
      <c r="AO114">
        <v>74</v>
      </c>
      <c r="AP114">
        <v>81</v>
      </c>
      <c r="AQ114">
        <v>89</v>
      </c>
      <c r="AR114">
        <v>36</v>
      </c>
      <c r="AS114">
        <v>59</v>
      </c>
      <c r="AT114">
        <v>80</v>
      </c>
      <c r="AU114">
        <v>77</v>
      </c>
      <c r="AV114">
        <v>38</v>
      </c>
      <c r="AW114">
        <v>86</v>
      </c>
      <c r="AX114">
        <v>83</v>
      </c>
      <c r="AY114">
        <v>91</v>
      </c>
      <c r="AZ114">
        <v>84</v>
      </c>
      <c r="BA114">
        <v>65</v>
      </c>
      <c r="BB114">
        <v>70</v>
      </c>
      <c r="BC114">
        <v>88</v>
      </c>
      <c r="BD114">
        <v>84</v>
      </c>
      <c r="BE114">
        <v>78</v>
      </c>
      <c r="BF114">
        <v>90</v>
      </c>
      <c r="BG114">
        <v>81</v>
      </c>
      <c r="BH114">
        <v>89</v>
      </c>
      <c r="BI114">
        <v>71</v>
      </c>
      <c r="BJ114">
        <v>51</v>
      </c>
      <c r="BK114">
        <v>66</v>
      </c>
      <c r="BL114">
        <v>62</v>
      </c>
      <c r="BM114">
        <v>65</v>
      </c>
      <c r="BN114">
        <v>44</v>
      </c>
      <c r="BO114">
        <v>39</v>
      </c>
      <c r="BP114">
        <v>81</v>
      </c>
      <c r="BQ114">
        <v>85</v>
      </c>
      <c r="BR114">
        <v>74</v>
      </c>
      <c r="BS114">
        <v>85</v>
      </c>
      <c r="BT114">
        <v>32</v>
      </c>
      <c r="BU114">
        <v>39</v>
      </c>
      <c r="BV114">
        <v>32</v>
      </c>
      <c r="BW114">
        <v>7</v>
      </c>
      <c r="BX114">
        <v>11</v>
      </c>
      <c r="BY114">
        <v>10</v>
      </c>
      <c r="BZ114">
        <v>11</v>
      </c>
      <c r="CA114">
        <v>13</v>
      </c>
      <c r="CB114">
        <v>78</v>
      </c>
      <c r="CC114">
        <v>83</v>
      </c>
      <c r="CD114">
        <v>82</v>
      </c>
      <c r="CE114">
        <v>82</v>
      </c>
      <c r="CF114">
        <v>82</v>
      </c>
      <c r="CG114">
        <v>83</v>
      </c>
      <c r="CH114">
        <v>86</v>
      </c>
      <c r="CI114">
        <v>86</v>
      </c>
      <c r="CJ114">
        <v>80</v>
      </c>
      <c r="CK114">
        <v>86</v>
      </c>
      <c r="CL114">
        <v>67</v>
      </c>
      <c r="CM114">
        <v>63</v>
      </c>
      <c r="CN114">
        <v>67</v>
      </c>
      <c r="CO114">
        <v>61</v>
      </c>
      <c r="CP114">
        <v>50</v>
      </c>
      <c r="CQ114">
        <v>61</v>
      </c>
      <c r="CR114">
        <v>21</v>
      </c>
    </row>
    <row r="115" spans="1:96">
      <c r="A115">
        <v>114</v>
      </c>
      <c r="B115" t="s">
        <v>657</v>
      </c>
      <c r="C115" t="s">
        <v>519</v>
      </c>
      <c r="D115" t="s">
        <v>532</v>
      </c>
      <c r="E115" t="s">
        <v>182</v>
      </c>
      <c r="F115">
        <v>83</v>
      </c>
      <c r="G115">
        <v>20</v>
      </c>
      <c r="H115" t="s">
        <v>658</v>
      </c>
      <c r="I115" t="s">
        <v>657</v>
      </c>
      <c r="J115">
        <v>83</v>
      </c>
      <c r="K115">
        <v>87</v>
      </c>
      <c r="L115">
        <v>52000000</v>
      </c>
      <c r="M115" t="s">
        <v>311</v>
      </c>
      <c r="N115" t="s">
        <v>242</v>
      </c>
      <c r="O115" t="s">
        <v>142</v>
      </c>
      <c r="P115" t="s">
        <v>659</v>
      </c>
      <c r="Q115">
        <v>23</v>
      </c>
      <c r="R115">
        <v>189</v>
      </c>
      <c r="S115">
        <v>76</v>
      </c>
      <c r="T115">
        <v>2057</v>
      </c>
      <c r="U115">
        <v>445</v>
      </c>
      <c r="V115" t="s">
        <v>660</v>
      </c>
      <c r="W115">
        <v>29000</v>
      </c>
      <c r="X115">
        <v>76700000</v>
      </c>
      <c r="Y115" t="s">
        <v>311</v>
      </c>
      <c r="Z115">
        <v>2026</v>
      </c>
      <c r="AA115">
        <v>11</v>
      </c>
      <c r="AB115">
        <v>2016</v>
      </c>
      <c r="AC115" t="s">
        <v>103</v>
      </c>
      <c r="AD115" t="s">
        <v>104</v>
      </c>
      <c r="AE115">
        <v>4</v>
      </c>
      <c r="AF115">
        <v>4</v>
      </c>
      <c r="AG115">
        <v>2</v>
      </c>
      <c r="AH115" t="s">
        <v>142</v>
      </c>
      <c r="AI115" t="s">
        <v>145</v>
      </c>
      <c r="AJ115" t="s">
        <v>114</v>
      </c>
      <c r="AK115">
        <v>9</v>
      </c>
      <c r="AL115" t="s">
        <v>116</v>
      </c>
      <c r="AM115" t="s">
        <v>116</v>
      </c>
      <c r="AN115">
        <v>87</v>
      </c>
      <c r="AO115">
        <v>82</v>
      </c>
      <c r="AP115">
        <v>77</v>
      </c>
      <c r="AQ115">
        <v>84</v>
      </c>
      <c r="AR115">
        <v>41</v>
      </c>
      <c r="AS115">
        <v>74</v>
      </c>
      <c r="AT115">
        <v>83</v>
      </c>
      <c r="AU115">
        <v>82</v>
      </c>
      <c r="AV115">
        <v>60</v>
      </c>
      <c r="AW115">
        <v>76</v>
      </c>
      <c r="AX115">
        <v>75</v>
      </c>
      <c r="AY115">
        <v>86</v>
      </c>
      <c r="AZ115">
        <v>78</v>
      </c>
      <c r="BA115">
        <v>76</v>
      </c>
      <c r="BB115">
        <v>68</v>
      </c>
      <c r="BC115">
        <v>84</v>
      </c>
      <c r="BD115">
        <v>86</v>
      </c>
      <c r="BE115">
        <v>87</v>
      </c>
      <c r="BF115">
        <v>81</v>
      </c>
      <c r="BG115">
        <v>81</v>
      </c>
      <c r="BH115">
        <v>71</v>
      </c>
      <c r="BI115">
        <v>86</v>
      </c>
      <c r="BJ115">
        <v>75</v>
      </c>
      <c r="BK115">
        <v>79</v>
      </c>
      <c r="BL115">
        <v>77</v>
      </c>
      <c r="BM115">
        <v>83</v>
      </c>
      <c r="BN115">
        <v>60</v>
      </c>
      <c r="BO115">
        <v>39</v>
      </c>
      <c r="BP115">
        <v>81</v>
      </c>
      <c r="BQ115">
        <v>79</v>
      </c>
      <c r="BR115">
        <v>68</v>
      </c>
      <c r="BS115">
        <v>78</v>
      </c>
      <c r="BT115">
        <v>43</v>
      </c>
      <c r="BU115">
        <v>38</v>
      </c>
      <c r="BV115">
        <v>28</v>
      </c>
      <c r="BW115">
        <v>15</v>
      </c>
      <c r="BX115">
        <v>11</v>
      </c>
      <c r="BY115">
        <v>7</v>
      </c>
      <c r="BZ115">
        <v>9</v>
      </c>
      <c r="CA115">
        <v>5</v>
      </c>
      <c r="CB115">
        <v>82</v>
      </c>
      <c r="CC115">
        <v>83</v>
      </c>
      <c r="CD115">
        <v>82</v>
      </c>
      <c r="CE115">
        <v>82</v>
      </c>
      <c r="CF115">
        <v>82</v>
      </c>
      <c r="CG115">
        <v>83</v>
      </c>
      <c r="CH115">
        <v>83</v>
      </c>
      <c r="CI115">
        <v>84</v>
      </c>
      <c r="CJ115">
        <v>77</v>
      </c>
      <c r="CK115">
        <v>84</v>
      </c>
      <c r="CL115">
        <v>67</v>
      </c>
      <c r="CM115">
        <v>63</v>
      </c>
      <c r="CN115">
        <v>67</v>
      </c>
      <c r="CO115">
        <v>62</v>
      </c>
      <c r="CP115">
        <v>55</v>
      </c>
      <c r="CQ115">
        <v>62</v>
      </c>
      <c r="CR115">
        <v>20</v>
      </c>
    </row>
    <row r="116" spans="1:96">
      <c r="A116">
        <v>115</v>
      </c>
      <c r="B116" t="s">
        <v>661</v>
      </c>
      <c r="C116" t="s">
        <v>519</v>
      </c>
      <c r="D116" t="s">
        <v>532</v>
      </c>
      <c r="E116" t="s">
        <v>662</v>
      </c>
      <c r="F116">
        <v>83</v>
      </c>
      <c r="G116">
        <v>20</v>
      </c>
      <c r="H116" t="s">
        <v>663</v>
      </c>
      <c r="I116" t="s">
        <v>664</v>
      </c>
      <c r="J116">
        <v>84</v>
      </c>
      <c r="K116">
        <v>84</v>
      </c>
      <c r="L116">
        <v>20000000</v>
      </c>
      <c r="M116" t="s">
        <v>136</v>
      </c>
      <c r="N116" t="s">
        <v>136</v>
      </c>
      <c r="O116" t="s">
        <v>287</v>
      </c>
      <c r="P116" t="s">
        <v>665</v>
      </c>
      <c r="Q116">
        <v>34</v>
      </c>
      <c r="R116">
        <v>180</v>
      </c>
      <c r="S116">
        <v>69</v>
      </c>
      <c r="T116">
        <v>2142</v>
      </c>
      <c r="U116">
        <v>444</v>
      </c>
      <c r="V116" t="s">
        <v>405</v>
      </c>
      <c r="W116">
        <v>160000</v>
      </c>
      <c r="X116">
        <v>34000000</v>
      </c>
      <c r="Y116" t="s">
        <v>136</v>
      </c>
      <c r="Z116">
        <v>2023</v>
      </c>
      <c r="AA116">
        <v>22</v>
      </c>
      <c r="AB116">
        <v>2022</v>
      </c>
      <c r="AC116" t="s">
        <v>103</v>
      </c>
      <c r="AD116" t="s">
        <v>137</v>
      </c>
      <c r="AE116">
        <v>2</v>
      </c>
      <c r="AF116">
        <v>5</v>
      </c>
      <c r="AG116">
        <v>4</v>
      </c>
      <c r="AH116" t="s">
        <v>287</v>
      </c>
      <c r="AI116" t="s">
        <v>289</v>
      </c>
      <c r="AJ116" t="s">
        <v>311</v>
      </c>
      <c r="AK116">
        <v>11</v>
      </c>
      <c r="AL116" t="s">
        <v>107</v>
      </c>
      <c r="AM116" t="s">
        <v>116</v>
      </c>
      <c r="AN116">
        <v>79</v>
      </c>
      <c r="AO116">
        <v>79</v>
      </c>
      <c r="AP116">
        <v>84</v>
      </c>
      <c r="AQ116">
        <v>87</v>
      </c>
      <c r="AR116">
        <v>48</v>
      </c>
      <c r="AS116">
        <v>67</v>
      </c>
      <c r="AT116">
        <v>85</v>
      </c>
      <c r="AU116">
        <v>76</v>
      </c>
      <c r="AV116">
        <v>51</v>
      </c>
      <c r="AW116">
        <v>82</v>
      </c>
      <c r="AX116">
        <v>78</v>
      </c>
      <c r="AY116">
        <v>88</v>
      </c>
      <c r="AZ116">
        <v>92</v>
      </c>
      <c r="BA116">
        <v>88</v>
      </c>
      <c r="BB116">
        <v>80</v>
      </c>
      <c r="BC116">
        <v>87</v>
      </c>
      <c r="BD116">
        <v>80</v>
      </c>
      <c r="BE116">
        <v>78</v>
      </c>
      <c r="BF116">
        <v>91</v>
      </c>
      <c r="BG116">
        <v>83</v>
      </c>
      <c r="BH116">
        <v>75</v>
      </c>
      <c r="BI116">
        <v>83</v>
      </c>
      <c r="BJ116">
        <v>70</v>
      </c>
      <c r="BK116">
        <v>74</v>
      </c>
      <c r="BL116">
        <v>61</v>
      </c>
      <c r="BM116">
        <v>84</v>
      </c>
      <c r="BN116">
        <v>73</v>
      </c>
      <c r="BO116">
        <v>42</v>
      </c>
      <c r="BP116">
        <v>82</v>
      </c>
      <c r="BQ116">
        <v>87</v>
      </c>
      <c r="BR116">
        <v>73</v>
      </c>
      <c r="BS116">
        <v>86</v>
      </c>
      <c r="BT116">
        <v>41</v>
      </c>
      <c r="BU116">
        <v>55</v>
      </c>
      <c r="BV116">
        <v>52</v>
      </c>
      <c r="BW116">
        <v>10</v>
      </c>
      <c r="BX116">
        <v>7</v>
      </c>
      <c r="BY116">
        <v>11</v>
      </c>
      <c r="BZ116">
        <v>12</v>
      </c>
      <c r="CA116">
        <v>11</v>
      </c>
      <c r="CB116">
        <v>81</v>
      </c>
      <c r="CC116">
        <v>84</v>
      </c>
      <c r="CD116">
        <v>83</v>
      </c>
      <c r="CE116">
        <v>83</v>
      </c>
      <c r="CF116">
        <v>83</v>
      </c>
      <c r="CG116">
        <v>84</v>
      </c>
      <c r="CH116">
        <v>84</v>
      </c>
      <c r="CI116">
        <v>84</v>
      </c>
      <c r="CJ116">
        <v>83</v>
      </c>
      <c r="CK116">
        <v>84</v>
      </c>
      <c r="CL116">
        <v>72</v>
      </c>
      <c r="CM116">
        <v>70</v>
      </c>
      <c r="CN116">
        <v>72</v>
      </c>
      <c r="CO116">
        <v>68</v>
      </c>
      <c r="CP116">
        <v>60</v>
      </c>
      <c r="CQ116">
        <v>68</v>
      </c>
      <c r="CR116">
        <v>21</v>
      </c>
    </row>
    <row r="117" spans="1:96">
      <c r="A117">
        <v>116</v>
      </c>
      <c r="B117" t="s">
        <v>666</v>
      </c>
      <c r="C117" t="s">
        <v>519</v>
      </c>
      <c r="D117" t="s">
        <v>532</v>
      </c>
      <c r="E117" t="s">
        <v>140</v>
      </c>
      <c r="F117">
        <v>83</v>
      </c>
      <c r="G117">
        <v>20</v>
      </c>
      <c r="H117" t="s">
        <v>667</v>
      </c>
      <c r="I117" t="s">
        <v>668</v>
      </c>
      <c r="J117">
        <v>84</v>
      </c>
      <c r="K117">
        <v>90</v>
      </c>
      <c r="L117">
        <v>68500000</v>
      </c>
      <c r="M117" t="s">
        <v>534</v>
      </c>
      <c r="N117" t="s">
        <v>133</v>
      </c>
      <c r="O117" t="s">
        <v>134</v>
      </c>
      <c r="P117" t="s">
        <v>669</v>
      </c>
      <c r="Q117">
        <v>22</v>
      </c>
      <c r="R117">
        <v>181</v>
      </c>
      <c r="S117">
        <v>72</v>
      </c>
      <c r="T117">
        <v>2110</v>
      </c>
      <c r="U117">
        <v>439</v>
      </c>
      <c r="V117" t="s">
        <v>256</v>
      </c>
      <c r="W117">
        <v>78000</v>
      </c>
      <c r="X117">
        <v>154100000</v>
      </c>
      <c r="Y117" t="s">
        <v>520</v>
      </c>
      <c r="Z117">
        <v>2026</v>
      </c>
      <c r="AA117">
        <v>7</v>
      </c>
      <c r="AB117">
        <v>2019</v>
      </c>
      <c r="AC117" t="s">
        <v>103</v>
      </c>
      <c r="AD117" t="s">
        <v>104</v>
      </c>
      <c r="AE117">
        <v>4</v>
      </c>
      <c r="AF117">
        <v>5</v>
      </c>
      <c r="AG117">
        <v>2</v>
      </c>
      <c r="AH117" t="s">
        <v>134</v>
      </c>
      <c r="AI117" t="s">
        <v>138</v>
      </c>
      <c r="AJ117" t="s">
        <v>114</v>
      </c>
      <c r="AK117">
        <v>23</v>
      </c>
      <c r="AL117" t="s">
        <v>116</v>
      </c>
      <c r="AM117" t="s">
        <v>116</v>
      </c>
      <c r="AN117">
        <v>83</v>
      </c>
      <c r="AO117">
        <v>80</v>
      </c>
      <c r="AP117">
        <v>81</v>
      </c>
      <c r="AQ117">
        <v>88</v>
      </c>
      <c r="AR117">
        <v>40</v>
      </c>
      <c r="AS117">
        <v>67</v>
      </c>
      <c r="AT117">
        <v>77</v>
      </c>
      <c r="AU117">
        <v>79</v>
      </c>
      <c r="AV117">
        <v>69</v>
      </c>
      <c r="AW117">
        <v>83</v>
      </c>
      <c r="AX117">
        <v>83</v>
      </c>
      <c r="AY117">
        <v>89</v>
      </c>
      <c r="AZ117">
        <v>83</v>
      </c>
      <c r="BA117">
        <v>67</v>
      </c>
      <c r="BB117">
        <v>76</v>
      </c>
      <c r="BC117">
        <v>88</v>
      </c>
      <c r="BD117">
        <v>84</v>
      </c>
      <c r="BE117">
        <v>83</v>
      </c>
      <c r="BF117">
        <v>88</v>
      </c>
      <c r="BG117">
        <v>83</v>
      </c>
      <c r="BH117">
        <v>84</v>
      </c>
      <c r="BI117">
        <v>80</v>
      </c>
      <c r="BJ117">
        <v>76</v>
      </c>
      <c r="BK117">
        <v>75</v>
      </c>
      <c r="BL117">
        <v>62</v>
      </c>
      <c r="BM117">
        <v>81</v>
      </c>
      <c r="BN117">
        <v>68</v>
      </c>
      <c r="BO117">
        <v>40</v>
      </c>
      <c r="BP117">
        <v>85</v>
      </c>
      <c r="BQ117">
        <v>86</v>
      </c>
      <c r="BR117">
        <v>68</v>
      </c>
      <c r="BS117">
        <v>86</v>
      </c>
      <c r="BT117">
        <v>30</v>
      </c>
      <c r="BU117">
        <v>42</v>
      </c>
      <c r="BV117">
        <v>35</v>
      </c>
      <c r="BW117">
        <v>13</v>
      </c>
      <c r="BX117">
        <v>12</v>
      </c>
      <c r="BY117">
        <v>14</v>
      </c>
      <c r="BZ117">
        <v>13</v>
      </c>
      <c r="CA117">
        <v>14</v>
      </c>
      <c r="CB117">
        <v>83</v>
      </c>
      <c r="CC117">
        <v>84</v>
      </c>
      <c r="CD117">
        <v>84</v>
      </c>
      <c r="CE117">
        <v>84</v>
      </c>
      <c r="CF117">
        <v>84</v>
      </c>
      <c r="CG117">
        <v>84</v>
      </c>
      <c r="CH117">
        <v>87</v>
      </c>
      <c r="CI117">
        <v>85</v>
      </c>
      <c r="CJ117">
        <v>81</v>
      </c>
      <c r="CK117">
        <v>85</v>
      </c>
      <c r="CL117">
        <v>67</v>
      </c>
      <c r="CM117">
        <v>65</v>
      </c>
      <c r="CN117">
        <v>67</v>
      </c>
      <c r="CO117">
        <v>63</v>
      </c>
      <c r="CP117">
        <v>56</v>
      </c>
      <c r="CQ117">
        <v>63</v>
      </c>
      <c r="CR117">
        <v>23</v>
      </c>
    </row>
    <row r="118" spans="1:96">
      <c r="A118">
        <v>117</v>
      </c>
      <c r="B118" t="s">
        <v>670</v>
      </c>
      <c r="C118" t="s">
        <v>519</v>
      </c>
      <c r="D118" t="s">
        <v>136</v>
      </c>
      <c r="E118" t="s">
        <v>140</v>
      </c>
      <c r="F118">
        <v>83</v>
      </c>
      <c r="G118">
        <v>20</v>
      </c>
      <c r="H118" t="s">
        <v>670</v>
      </c>
      <c r="I118" t="s">
        <v>671</v>
      </c>
      <c r="J118">
        <v>83</v>
      </c>
      <c r="K118">
        <v>86</v>
      </c>
      <c r="L118">
        <v>48000000</v>
      </c>
      <c r="M118" t="s">
        <v>672</v>
      </c>
      <c r="N118" t="s">
        <v>291</v>
      </c>
      <c r="O118" t="s">
        <v>112</v>
      </c>
      <c r="P118" t="s">
        <v>673</v>
      </c>
      <c r="Q118">
        <v>25</v>
      </c>
      <c r="R118">
        <v>176</v>
      </c>
      <c r="S118">
        <v>68</v>
      </c>
      <c r="T118">
        <v>2129</v>
      </c>
      <c r="U118">
        <v>455</v>
      </c>
      <c r="V118" t="s">
        <v>144</v>
      </c>
      <c r="W118">
        <v>180000</v>
      </c>
      <c r="X118">
        <v>102000000</v>
      </c>
      <c r="Y118" t="s">
        <v>114</v>
      </c>
      <c r="Z118">
        <v>2027</v>
      </c>
      <c r="AA118">
        <v>22</v>
      </c>
      <c r="AB118">
        <v>2022</v>
      </c>
      <c r="AC118" t="s">
        <v>103</v>
      </c>
      <c r="AD118" t="s">
        <v>137</v>
      </c>
      <c r="AE118">
        <v>4</v>
      </c>
      <c r="AF118">
        <v>4</v>
      </c>
      <c r="AG118">
        <v>2</v>
      </c>
      <c r="AH118" t="s">
        <v>103</v>
      </c>
      <c r="AI118" t="s">
        <v>115</v>
      </c>
      <c r="AJ118" t="s">
        <v>103</v>
      </c>
      <c r="AK118" t="s">
        <v>103</v>
      </c>
      <c r="AL118" t="s">
        <v>107</v>
      </c>
      <c r="AM118" t="s">
        <v>107</v>
      </c>
      <c r="AN118">
        <v>91</v>
      </c>
      <c r="AO118">
        <v>79</v>
      </c>
      <c r="AP118">
        <v>77</v>
      </c>
      <c r="AQ118">
        <v>85</v>
      </c>
      <c r="AR118">
        <v>50</v>
      </c>
      <c r="AS118">
        <v>73</v>
      </c>
      <c r="AT118">
        <v>79</v>
      </c>
      <c r="AU118">
        <v>77</v>
      </c>
      <c r="AV118">
        <v>45</v>
      </c>
      <c r="AW118">
        <v>76</v>
      </c>
      <c r="AX118">
        <v>72</v>
      </c>
      <c r="AY118">
        <v>87</v>
      </c>
      <c r="AZ118">
        <v>81</v>
      </c>
      <c r="BA118">
        <v>79</v>
      </c>
      <c r="BB118">
        <v>74</v>
      </c>
      <c r="BC118">
        <v>84</v>
      </c>
      <c r="BD118">
        <v>90</v>
      </c>
      <c r="BE118">
        <v>91</v>
      </c>
      <c r="BF118">
        <v>88</v>
      </c>
      <c r="BG118">
        <v>83</v>
      </c>
      <c r="BH118">
        <v>79</v>
      </c>
      <c r="BI118">
        <v>83</v>
      </c>
      <c r="BJ118">
        <v>74</v>
      </c>
      <c r="BK118">
        <v>86</v>
      </c>
      <c r="BL118">
        <v>65</v>
      </c>
      <c r="BM118">
        <v>79</v>
      </c>
      <c r="BN118">
        <v>76</v>
      </c>
      <c r="BO118">
        <v>55</v>
      </c>
      <c r="BP118">
        <v>82</v>
      </c>
      <c r="BQ118">
        <v>77</v>
      </c>
      <c r="BR118">
        <v>78</v>
      </c>
      <c r="BS118">
        <v>80</v>
      </c>
      <c r="BT118">
        <v>47</v>
      </c>
      <c r="BU118">
        <v>54</v>
      </c>
      <c r="BV118">
        <v>38</v>
      </c>
      <c r="BW118">
        <v>8</v>
      </c>
      <c r="BX118">
        <v>7</v>
      </c>
      <c r="BY118">
        <v>13</v>
      </c>
      <c r="BZ118">
        <v>8</v>
      </c>
      <c r="CA118">
        <v>14</v>
      </c>
      <c r="CB118">
        <v>79</v>
      </c>
      <c r="CC118">
        <v>83</v>
      </c>
      <c r="CD118">
        <v>82</v>
      </c>
      <c r="CE118">
        <v>82</v>
      </c>
      <c r="CF118">
        <v>82</v>
      </c>
      <c r="CG118">
        <v>83</v>
      </c>
      <c r="CH118">
        <v>83</v>
      </c>
      <c r="CI118">
        <v>84</v>
      </c>
      <c r="CJ118">
        <v>79</v>
      </c>
      <c r="CK118">
        <v>84</v>
      </c>
      <c r="CL118">
        <v>72</v>
      </c>
      <c r="CM118">
        <v>69</v>
      </c>
      <c r="CN118">
        <v>72</v>
      </c>
      <c r="CO118">
        <v>68</v>
      </c>
      <c r="CP118">
        <v>60</v>
      </c>
      <c r="CQ118">
        <v>68</v>
      </c>
      <c r="CR118">
        <v>20</v>
      </c>
    </row>
    <row r="119" spans="1:96">
      <c r="A119">
        <v>118</v>
      </c>
      <c r="B119" t="s">
        <v>674</v>
      </c>
      <c r="C119" t="s">
        <v>519</v>
      </c>
      <c r="D119" t="s">
        <v>136</v>
      </c>
      <c r="E119" t="s">
        <v>153</v>
      </c>
      <c r="F119">
        <v>83</v>
      </c>
      <c r="G119">
        <v>20</v>
      </c>
      <c r="H119" t="s">
        <v>675</v>
      </c>
      <c r="I119" t="s">
        <v>676</v>
      </c>
      <c r="J119">
        <v>71</v>
      </c>
      <c r="K119">
        <v>71</v>
      </c>
      <c r="L119">
        <v>1500000</v>
      </c>
      <c r="M119" t="s">
        <v>677</v>
      </c>
      <c r="N119" t="s">
        <v>311</v>
      </c>
      <c r="O119" t="s">
        <v>134</v>
      </c>
      <c r="P119" t="s">
        <v>678</v>
      </c>
      <c r="Q119">
        <v>32</v>
      </c>
      <c r="R119">
        <v>180</v>
      </c>
      <c r="S119">
        <v>70</v>
      </c>
      <c r="T119">
        <v>1777</v>
      </c>
      <c r="U119">
        <v>385</v>
      </c>
      <c r="V119" t="s">
        <v>679</v>
      </c>
      <c r="W119">
        <v>6000</v>
      </c>
      <c r="X119">
        <v>3100000</v>
      </c>
      <c r="Y119" t="s">
        <v>291</v>
      </c>
      <c r="Z119">
        <v>2023</v>
      </c>
      <c r="AA119">
        <v>8</v>
      </c>
      <c r="AB119">
        <v>2021</v>
      </c>
      <c r="AC119" t="s">
        <v>103</v>
      </c>
      <c r="AD119" t="s">
        <v>104</v>
      </c>
      <c r="AE119">
        <v>3</v>
      </c>
      <c r="AF119">
        <v>3</v>
      </c>
      <c r="AG119">
        <v>1</v>
      </c>
      <c r="AH119" t="s">
        <v>103</v>
      </c>
      <c r="AI119" t="s">
        <v>138</v>
      </c>
      <c r="AJ119" t="s">
        <v>103</v>
      </c>
      <c r="AK119" t="s">
        <v>103</v>
      </c>
      <c r="AL119" t="s">
        <v>116</v>
      </c>
      <c r="AM119" t="s">
        <v>116</v>
      </c>
      <c r="AN119">
        <v>73</v>
      </c>
      <c r="AO119">
        <v>67</v>
      </c>
      <c r="AP119">
        <v>68</v>
      </c>
      <c r="AQ119">
        <v>72</v>
      </c>
      <c r="AR119">
        <v>40</v>
      </c>
      <c r="AS119">
        <v>65</v>
      </c>
      <c r="AT119">
        <v>69</v>
      </c>
      <c r="AU119">
        <v>67</v>
      </c>
      <c r="AV119">
        <v>41</v>
      </c>
      <c r="AW119">
        <v>70</v>
      </c>
      <c r="AX119">
        <v>61</v>
      </c>
      <c r="AY119">
        <v>74</v>
      </c>
      <c r="AZ119">
        <v>71</v>
      </c>
      <c r="BA119">
        <v>63</v>
      </c>
      <c r="BB119">
        <v>65</v>
      </c>
      <c r="BC119">
        <v>73</v>
      </c>
      <c r="BD119">
        <v>74</v>
      </c>
      <c r="BE119">
        <v>73</v>
      </c>
      <c r="BF119">
        <v>70</v>
      </c>
      <c r="BG119">
        <v>68</v>
      </c>
      <c r="BH119">
        <v>68</v>
      </c>
      <c r="BI119">
        <v>68</v>
      </c>
      <c r="BJ119">
        <v>42</v>
      </c>
      <c r="BK119">
        <v>77</v>
      </c>
      <c r="BL119">
        <v>66</v>
      </c>
      <c r="BM119">
        <v>67</v>
      </c>
      <c r="BN119">
        <v>51</v>
      </c>
      <c r="BO119">
        <v>38</v>
      </c>
      <c r="BP119">
        <v>68</v>
      </c>
      <c r="BQ119">
        <v>67</v>
      </c>
      <c r="BR119">
        <v>60</v>
      </c>
      <c r="BS119">
        <v>67</v>
      </c>
      <c r="BT119">
        <v>36</v>
      </c>
      <c r="BU119">
        <v>46</v>
      </c>
      <c r="BV119">
        <v>36</v>
      </c>
      <c r="BW119">
        <v>9</v>
      </c>
      <c r="BX119">
        <v>8</v>
      </c>
      <c r="BY119">
        <v>7</v>
      </c>
      <c r="BZ119">
        <v>12</v>
      </c>
      <c r="CA119">
        <v>12</v>
      </c>
      <c r="CB119">
        <v>68</v>
      </c>
      <c r="CC119">
        <v>71</v>
      </c>
      <c r="CD119">
        <v>70</v>
      </c>
      <c r="CE119">
        <v>70</v>
      </c>
      <c r="CF119">
        <v>70</v>
      </c>
      <c r="CG119">
        <v>71</v>
      </c>
      <c r="CH119">
        <v>71</v>
      </c>
      <c r="CI119">
        <v>71</v>
      </c>
      <c r="CJ119">
        <v>69</v>
      </c>
      <c r="CK119">
        <v>71</v>
      </c>
      <c r="CL119">
        <v>61</v>
      </c>
      <c r="CM119">
        <v>59</v>
      </c>
      <c r="CN119">
        <v>61</v>
      </c>
      <c r="CO119">
        <v>58</v>
      </c>
      <c r="CP119">
        <v>50</v>
      </c>
      <c r="CQ119">
        <v>58</v>
      </c>
      <c r="CR119">
        <v>18</v>
      </c>
    </row>
    <row r="120" spans="1:96">
      <c r="A120">
        <v>119</v>
      </c>
      <c r="B120" t="s">
        <v>680</v>
      </c>
      <c r="C120" t="s">
        <v>519</v>
      </c>
      <c r="D120" t="s">
        <v>136</v>
      </c>
      <c r="E120" t="s">
        <v>110</v>
      </c>
      <c r="F120">
        <v>82</v>
      </c>
      <c r="G120">
        <v>20</v>
      </c>
      <c r="H120" t="s">
        <v>680</v>
      </c>
      <c r="I120" t="s">
        <v>681</v>
      </c>
      <c r="J120">
        <v>82</v>
      </c>
      <c r="K120">
        <v>88</v>
      </c>
      <c r="L120">
        <v>49000000</v>
      </c>
      <c r="M120" t="s">
        <v>672</v>
      </c>
      <c r="N120" t="s">
        <v>291</v>
      </c>
      <c r="O120" t="s">
        <v>112</v>
      </c>
      <c r="P120" t="s">
        <v>682</v>
      </c>
      <c r="Q120">
        <v>22</v>
      </c>
      <c r="R120">
        <v>174</v>
      </c>
      <c r="S120">
        <v>63</v>
      </c>
      <c r="T120">
        <v>2010</v>
      </c>
      <c r="U120">
        <v>436</v>
      </c>
      <c r="V120" t="s">
        <v>110</v>
      </c>
      <c r="W120">
        <v>130000</v>
      </c>
      <c r="X120">
        <v>102900000</v>
      </c>
      <c r="Y120" t="s">
        <v>242</v>
      </c>
      <c r="Z120">
        <v>2027</v>
      </c>
      <c r="AA120">
        <v>21</v>
      </c>
      <c r="AB120">
        <v>2022</v>
      </c>
      <c r="AC120" t="s">
        <v>103</v>
      </c>
      <c r="AD120" t="s">
        <v>137</v>
      </c>
      <c r="AE120">
        <v>3</v>
      </c>
      <c r="AF120">
        <v>5</v>
      </c>
      <c r="AG120">
        <v>3</v>
      </c>
      <c r="AH120" t="s">
        <v>103</v>
      </c>
      <c r="AI120" t="s">
        <v>115</v>
      </c>
      <c r="AJ120" t="s">
        <v>103</v>
      </c>
      <c r="AK120" t="s">
        <v>103</v>
      </c>
      <c r="AL120" t="s">
        <v>107</v>
      </c>
      <c r="AM120" t="s">
        <v>116</v>
      </c>
      <c r="AN120">
        <v>93</v>
      </c>
      <c r="AO120">
        <v>74</v>
      </c>
      <c r="AP120">
        <v>75</v>
      </c>
      <c r="AQ120">
        <v>86</v>
      </c>
      <c r="AR120">
        <v>39</v>
      </c>
      <c r="AS120">
        <v>69</v>
      </c>
      <c r="AT120">
        <v>79</v>
      </c>
      <c r="AU120">
        <v>76</v>
      </c>
      <c r="AV120">
        <v>45</v>
      </c>
      <c r="AW120">
        <v>75</v>
      </c>
      <c r="AX120">
        <v>67</v>
      </c>
      <c r="AY120">
        <v>85</v>
      </c>
      <c r="AZ120">
        <v>80</v>
      </c>
      <c r="BA120">
        <v>74</v>
      </c>
      <c r="BB120">
        <v>62</v>
      </c>
      <c r="BC120">
        <v>88</v>
      </c>
      <c r="BD120">
        <v>95</v>
      </c>
      <c r="BE120">
        <v>91</v>
      </c>
      <c r="BF120">
        <v>92</v>
      </c>
      <c r="BG120">
        <v>75</v>
      </c>
      <c r="BH120">
        <v>85</v>
      </c>
      <c r="BI120">
        <v>73</v>
      </c>
      <c r="BJ120">
        <v>57</v>
      </c>
      <c r="BK120">
        <v>79</v>
      </c>
      <c r="BL120">
        <v>62</v>
      </c>
      <c r="BM120">
        <v>76</v>
      </c>
      <c r="BN120">
        <v>76</v>
      </c>
      <c r="BO120">
        <v>39</v>
      </c>
      <c r="BP120">
        <v>76</v>
      </c>
      <c r="BQ120">
        <v>79</v>
      </c>
      <c r="BR120">
        <v>66</v>
      </c>
      <c r="BS120">
        <v>80</v>
      </c>
      <c r="BT120">
        <v>46</v>
      </c>
      <c r="BU120">
        <v>37</v>
      </c>
      <c r="BV120">
        <v>21</v>
      </c>
      <c r="BW120">
        <v>9</v>
      </c>
      <c r="BX120">
        <v>10</v>
      </c>
      <c r="BY120">
        <v>14</v>
      </c>
      <c r="BZ120">
        <v>8</v>
      </c>
      <c r="CA120">
        <v>13</v>
      </c>
      <c r="CB120">
        <v>78</v>
      </c>
      <c r="CC120">
        <v>82</v>
      </c>
      <c r="CD120">
        <v>80</v>
      </c>
      <c r="CE120">
        <v>80</v>
      </c>
      <c r="CF120">
        <v>80</v>
      </c>
      <c r="CG120">
        <v>82</v>
      </c>
      <c r="CH120">
        <v>83</v>
      </c>
      <c r="CI120">
        <v>84</v>
      </c>
      <c r="CJ120">
        <v>76</v>
      </c>
      <c r="CK120">
        <v>84</v>
      </c>
      <c r="CL120">
        <v>67</v>
      </c>
      <c r="CM120">
        <v>63</v>
      </c>
      <c r="CN120">
        <v>67</v>
      </c>
      <c r="CO120">
        <v>62</v>
      </c>
      <c r="CP120">
        <v>53</v>
      </c>
      <c r="CQ120">
        <v>62</v>
      </c>
      <c r="CR120">
        <v>20</v>
      </c>
    </row>
    <row r="121" spans="1:96">
      <c r="A121">
        <v>120</v>
      </c>
      <c r="B121" t="s">
        <v>683</v>
      </c>
      <c r="C121" t="s">
        <v>519</v>
      </c>
      <c r="D121" t="s">
        <v>520</v>
      </c>
      <c r="E121" t="s">
        <v>182</v>
      </c>
      <c r="F121">
        <v>82</v>
      </c>
      <c r="G121">
        <v>20</v>
      </c>
      <c r="H121" t="s">
        <v>684</v>
      </c>
      <c r="I121" t="s">
        <v>685</v>
      </c>
      <c r="J121">
        <v>82</v>
      </c>
      <c r="K121">
        <v>89</v>
      </c>
      <c r="L121">
        <v>61500000</v>
      </c>
      <c r="M121" t="s">
        <v>523</v>
      </c>
      <c r="N121" t="s">
        <v>520</v>
      </c>
      <c r="O121" t="s">
        <v>174</v>
      </c>
      <c r="P121" t="s">
        <v>686</v>
      </c>
      <c r="Q121">
        <v>23</v>
      </c>
      <c r="R121">
        <v>186</v>
      </c>
      <c r="S121">
        <v>80</v>
      </c>
      <c r="T121">
        <v>2063</v>
      </c>
      <c r="U121">
        <v>444</v>
      </c>
      <c r="V121" t="s">
        <v>182</v>
      </c>
      <c r="W121">
        <v>120000</v>
      </c>
      <c r="X121">
        <v>126100000</v>
      </c>
      <c r="Y121" t="s">
        <v>520</v>
      </c>
      <c r="Z121">
        <v>2028</v>
      </c>
      <c r="AA121">
        <v>27</v>
      </c>
      <c r="AB121">
        <v>2022</v>
      </c>
      <c r="AC121" t="s">
        <v>103</v>
      </c>
      <c r="AD121" t="s">
        <v>104</v>
      </c>
      <c r="AE121">
        <v>3</v>
      </c>
      <c r="AF121">
        <v>3</v>
      </c>
      <c r="AG121">
        <v>1</v>
      </c>
      <c r="AH121" t="s">
        <v>103</v>
      </c>
      <c r="AI121" t="s">
        <v>176</v>
      </c>
      <c r="AJ121" t="s">
        <v>103</v>
      </c>
      <c r="AK121" t="s">
        <v>103</v>
      </c>
      <c r="AL121" t="s">
        <v>107</v>
      </c>
      <c r="AM121" t="s">
        <v>107</v>
      </c>
      <c r="AN121">
        <v>89</v>
      </c>
      <c r="AO121">
        <v>82</v>
      </c>
      <c r="AP121">
        <v>68</v>
      </c>
      <c r="AQ121">
        <v>77</v>
      </c>
      <c r="AR121">
        <v>42</v>
      </c>
      <c r="AS121">
        <v>86</v>
      </c>
      <c r="AT121">
        <v>67</v>
      </c>
      <c r="AU121">
        <v>83</v>
      </c>
      <c r="AV121">
        <v>76</v>
      </c>
      <c r="AW121">
        <v>69</v>
      </c>
      <c r="AX121">
        <v>78</v>
      </c>
      <c r="AY121">
        <v>76</v>
      </c>
      <c r="AZ121">
        <v>75</v>
      </c>
      <c r="BA121">
        <v>61</v>
      </c>
      <c r="BB121">
        <v>60</v>
      </c>
      <c r="BC121">
        <v>77</v>
      </c>
      <c r="BD121">
        <v>91</v>
      </c>
      <c r="BE121">
        <v>88</v>
      </c>
      <c r="BF121">
        <v>78</v>
      </c>
      <c r="BG121">
        <v>84</v>
      </c>
      <c r="BH121">
        <v>67</v>
      </c>
      <c r="BI121">
        <v>86</v>
      </c>
      <c r="BJ121">
        <v>76</v>
      </c>
      <c r="BK121">
        <v>89</v>
      </c>
      <c r="BL121">
        <v>88</v>
      </c>
      <c r="BM121">
        <v>75</v>
      </c>
      <c r="BN121">
        <v>78</v>
      </c>
      <c r="BO121">
        <v>41</v>
      </c>
      <c r="BP121">
        <v>84</v>
      </c>
      <c r="BQ121">
        <v>71</v>
      </c>
      <c r="BR121">
        <v>78</v>
      </c>
      <c r="BS121">
        <v>83</v>
      </c>
      <c r="BT121">
        <v>36</v>
      </c>
      <c r="BU121">
        <v>39</v>
      </c>
      <c r="BV121">
        <v>33</v>
      </c>
      <c r="BW121">
        <v>14</v>
      </c>
      <c r="BX121">
        <v>10</v>
      </c>
      <c r="BY121">
        <v>12</v>
      </c>
      <c r="BZ121">
        <v>10</v>
      </c>
      <c r="CA121">
        <v>13</v>
      </c>
      <c r="CB121">
        <v>84</v>
      </c>
      <c r="CC121">
        <v>78</v>
      </c>
      <c r="CD121">
        <v>79</v>
      </c>
      <c r="CE121">
        <v>79</v>
      </c>
      <c r="CF121">
        <v>79</v>
      </c>
      <c r="CG121">
        <v>78</v>
      </c>
      <c r="CH121">
        <v>78</v>
      </c>
      <c r="CI121">
        <v>79</v>
      </c>
      <c r="CJ121">
        <v>73</v>
      </c>
      <c r="CK121">
        <v>79</v>
      </c>
      <c r="CL121">
        <v>65</v>
      </c>
      <c r="CM121">
        <v>62</v>
      </c>
      <c r="CN121">
        <v>65</v>
      </c>
      <c r="CO121">
        <v>63</v>
      </c>
      <c r="CP121">
        <v>59</v>
      </c>
      <c r="CQ121">
        <v>63</v>
      </c>
      <c r="CR121">
        <v>22</v>
      </c>
    </row>
    <row r="122" spans="1:96">
      <c r="A122">
        <v>121</v>
      </c>
      <c r="B122" t="s">
        <v>687</v>
      </c>
      <c r="C122" t="s">
        <v>519</v>
      </c>
      <c r="D122" t="s">
        <v>520</v>
      </c>
      <c r="E122" t="s">
        <v>284</v>
      </c>
      <c r="F122">
        <v>82</v>
      </c>
      <c r="G122">
        <v>20</v>
      </c>
      <c r="H122" t="s">
        <v>687</v>
      </c>
      <c r="I122" t="s">
        <v>688</v>
      </c>
      <c r="J122">
        <v>80</v>
      </c>
      <c r="K122">
        <v>80</v>
      </c>
      <c r="L122">
        <v>21000000</v>
      </c>
      <c r="M122" t="s">
        <v>520</v>
      </c>
      <c r="N122" t="s">
        <v>520</v>
      </c>
      <c r="O122" t="s">
        <v>199</v>
      </c>
      <c r="P122" t="s">
        <v>689</v>
      </c>
      <c r="Q122">
        <v>29</v>
      </c>
      <c r="R122">
        <v>190</v>
      </c>
      <c r="S122">
        <v>84</v>
      </c>
      <c r="T122">
        <v>1926</v>
      </c>
      <c r="U122">
        <v>416</v>
      </c>
      <c r="V122" t="s">
        <v>256</v>
      </c>
      <c r="W122">
        <v>66000</v>
      </c>
      <c r="X122">
        <v>43100000</v>
      </c>
      <c r="Y122" t="s">
        <v>520</v>
      </c>
      <c r="Z122">
        <v>2024</v>
      </c>
      <c r="AA122">
        <v>19</v>
      </c>
      <c r="AB122">
        <v>2020</v>
      </c>
      <c r="AC122" t="s">
        <v>103</v>
      </c>
      <c r="AD122" t="s">
        <v>104</v>
      </c>
      <c r="AE122">
        <v>4</v>
      </c>
      <c r="AF122">
        <v>3</v>
      </c>
      <c r="AG122">
        <v>3</v>
      </c>
      <c r="AH122" t="s">
        <v>199</v>
      </c>
      <c r="AI122" t="s">
        <v>201</v>
      </c>
      <c r="AJ122" t="s">
        <v>520</v>
      </c>
      <c r="AK122">
        <v>7</v>
      </c>
      <c r="AL122" t="s">
        <v>116</v>
      </c>
      <c r="AM122" t="s">
        <v>116</v>
      </c>
      <c r="AN122">
        <v>80</v>
      </c>
      <c r="AO122">
        <v>78</v>
      </c>
      <c r="AP122">
        <v>72</v>
      </c>
      <c r="AQ122">
        <v>78</v>
      </c>
      <c r="AR122">
        <v>31</v>
      </c>
      <c r="AS122">
        <v>77</v>
      </c>
      <c r="AT122">
        <v>72</v>
      </c>
      <c r="AU122">
        <v>82</v>
      </c>
      <c r="AV122">
        <v>85</v>
      </c>
      <c r="AW122">
        <v>76</v>
      </c>
      <c r="AX122">
        <v>79</v>
      </c>
      <c r="AY122">
        <v>79</v>
      </c>
      <c r="AZ122">
        <v>78</v>
      </c>
      <c r="BA122">
        <v>50</v>
      </c>
      <c r="BB122">
        <v>60</v>
      </c>
      <c r="BC122">
        <v>80</v>
      </c>
      <c r="BD122">
        <v>78</v>
      </c>
      <c r="BE122">
        <v>81</v>
      </c>
      <c r="BF122">
        <v>72</v>
      </c>
      <c r="BG122">
        <v>80</v>
      </c>
      <c r="BH122">
        <v>63</v>
      </c>
      <c r="BI122">
        <v>77</v>
      </c>
      <c r="BJ122">
        <v>86</v>
      </c>
      <c r="BK122">
        <v>77</v>
      </c>
      <c r="BL122">
        <v>80</v>
      </c>
      <c r="BM122">
        <v>70</v>
      </c>
      <c r="BN122">
        <v>69</v>
      </c>
      <c r="BO122">
        <v>24</v>
      </c>
      <c r="BP122">
        <v>83</v>
      </c>
      <c r="BQ122">
        <v>77</v>
      </c>
      <c r="BR122">
        <v>75</v>
      </c>
      <c r="BS122">
        <v>79</v>
      </c>
      <c r="BT122">
        <v>37</v>
      </c>
      <c r="BU122">
        <v>14</v>
      </c>
      <c r="BV122">
        <v>20</v>
      </c>
      <c r="BW122">
        <v>4</v>
      </c>
      <c r="BX122">
        <v>5</v>
      </c>
      <c r="BY122">
        <v>4</v>
      </c>
      <c r="BZ122">
        <v>4</v>
      </c>
      <c r="CA122">
        <v>5</v>
      </c>
      <c r="CB122">
        <v>80</v>
      </c>
      <c r="CC122">
        <v>78</v>
      </c>
      <c r="CD122">
        <v>79</v>
      </c>
      <c r="CE122">
        <v>79</v>
      </c>
      <c r="CF122">
        <v>79</v>
      </c>
      <c r="CG122">
        <v>78</v>
      </c>
      <c r="CH122">
        <v>80</v>
      </c>
      <c r="CI122">
        <v>80</v>
      </c>
      <c r="CJ122">
        <v>73</v>
      </c>
      <c r="CK122">
        <v>80</v>
      </c>
      <c r="CL122">
        <v>60</v>
      </c>
      <c r="CM122">
        <v>57</v>
      </c>
      <c r="CN122">
        <v>60</v>
      </c>
      <c r="CO122">
        <v>56</v>
      </c>
      <c r="CP122">
        <v>52</v>
      </c>
      <c r="CQ122">
        <v>56</v>
      </c>
      <c r="CR122">
        <v>16</v>
      </c>
    </row>
    <row r="123" spans="1:96">
      <c r="A123">
        <v>122</v>
      </c>
      <c r="B123" t="s">
        <v>690</v>
      </c>
      <c r="C123" t="s">
        <v>519</v>
      </c>
      <c r="D123" t="s">
        <v>311</v>
      </c>
      <c r="E123" t="s">
        <v>140</v>
      </c>
      <c r="F123">
        <v>82</v>
      </c>
      <c r="G123">
        <v>20</v>
      </c>
      <c r="H123" t="s">
        <v>690</v>
      </c>
      <c r="I123" t="s">
        <v>691</v>
      </c>
      <c r="J123">
        <v>82</v>
      </c>
      <c r="K123">
        <v>88</v>
      </c>
      <c r="L123">
        <v>49000000</v>
      </c>
      <c r="M123" t="s">
        <v>625</v>
      </c>
      <c r="N123" t="s">
        <v>311</v>
      </c>
      <c r="O123" t="s">
        <v>199</v>
      </c>
      <c r="P123" t="s">
        <v>692</v>
      </c>
      <c r="Q123">
        <v>22</v>
      </c>
      <c r="R123">
        <v>184</v>
      </c>
      <c r="S123">
        <v>77</v>
      </c>
      <c r="T123">
        <v>2030</v>
      </c>
      <c r="U123">
        <v>427</v>
      </c>
      <c r="V123" t="s">
        <v>144</v>
      </c>
      <c r="W123">
        <v>150000</v>
      </c>
      <c r="X123">
        <v>110300000</v>
      </c>
      <c r="Y123" t="s">
        <v>114</v>
      </c>
      <c r="Z123">
        <v>2027</v>
      </c>
      <c r="AA123">
        <v>11</v>
      </c>
      <c r="AB123">
        <v>2022</v>
      </c>
      <c r="AC123" t="s">
        <v>103</v>
      </c>
      <c r="AD123" t="s">
        <v>104</v>
      </c>
      <c r="AE123">
        <v>4</v>
      </c>
      <c r="AF123">
        <v>4</v>
      </c>
      <c r="AG123">
        <v>1</v>
      </c>
      <c r="AH123" t="s">
        <v>199</v>
      </c>
      <c r="AI123" t="s">
        <v>201</v>
      </c>
      <c r="AJ123" t="s">
        <v>136</v>
      </c>
      <c r="AK123">
        <v>11</v>
      </c>
      <c r="AL123" t="s">
        <v>107</v>
      </c>
      <c r="AM123" t="s">
        <v>116</v>
      </c>
      <c r="AN123">
        <v>84</v>
      </c>
      <c r="AO123">
        <v>79</v>
      </c>
      <c r="AP123">
        <v>79</v>
      </c>
      <c r="AQ123">
        <v>83</v>
      </c>
      <c r="AR123">
        <v>35</v>
      </c>
      <c r="AS123">
        <v>67</v>
      </c>
      <c r="AT123">
        <v>79</v>
      </c>
      <c r="AU123">
        <v>80</v>
      </c>
      <c r="AV123">
        <v>75</v>
      </c>
      <c r="AW123">
        <v>81</v>
      </c>
      <c r="AX123">
        <v>74</v>
      </c>
      <c r="AY123">
        <v>84</v>
      </c>
      <c r="AZ123">
        <v>76</v>
      </c>
      <c r="BA123">
        <v>60</v>
      </c>
      <c r="BB123">
        <v>78</v>
      </c>
      <c r="BC123">
        <v>84</v>
      </c>
      <c r="BD123">
        <v>87</v>
      </c>
      <c r="BE123">
        <v>81</v>
      </c>
      <c r="BF123">
        <v>83</v>
      </c>
      <c r="BG123">
        <v>82</v>
      </c>
      <c r="BH123">
        <v>78</v>
      </c>
      <c r="BI123">
        <v>79</v>
      </c>
      <c r="BJ123">
        <v>75</v>
      </c>
      <c r="BK123">
        <v>73</v>
      </c>
      <c r="BL123">
        <v>69</v>
      </c>
      <c r="BM123">
        <v>76</v>
      </c>
      <c r="BN123">
        <v>54</v>
      </c>
      <c r="BO123">
        <v>34</v>
      </c>
      <c r="BP123">
        <v>86</v>
      </c>
      <c r="BQ123">
        <v>82</v>
      </c>
      <c r="BR123">
        <v>74</v>
      </c>
      <c r="BS123">
        <v>82</v>
      </c>
      <c r="BT123">
        <v>35</v>
      </c>
      <c r="BU123">
        <v>24</v>
      </c>
      <c r="BV123">
        <v>28</v>
      </c>
      <c r="BW123">
        <v>12</v>
      </c>
      <c r="BX123">
        <v>9</v>
      </c>
      <c r="BY123">
        <v>11</v>
      </c>
      <c r="BZ123">
        <v>15</v>
      </c>
      <c r="CA123">
        <v>12</v>
      </c>
      <c r="CB123">
        <v>83</v>
      </c>
      <c r="CC123">
        <v>82</v>
      </c>
      <c r="CD123">
        <v>82</v>
      </c>
      <c r="CE123">
        <v>82</v>
      </c>
      <c r="CF123">
        <v>82</v>
      </c>
      <c r="CG123">
        <v>82</v>
      </c>
      <c r="CH123">
        <v>84</v>
      </c>
      <c r="CI123">
        <v>84</v>
      </c>
      <c r="CJ123">
        <v>78</v>
      </c>
      <c r="CK123">
        <v>84</v>
      </c>
      <c r="CL123">
        <v>63</v>
      </c>
      <c r="CM123">
        <v>61</v>
      </c>
      <c r="CN123">
        <v>63</v>
      </c>
      <c r="CO123">
        <v>60</v>
      </c>
      <c r="CP123">
        <v>52</v>
      </c>
      <c r="CQ123">
        <v>60</v>
      </c>
      <c r="CR123">
        <v>22</v>
      </c>
    </row>
    <row r="124" spans="1:96">
      <c r="A124">
        <v>123</v>
      </c>
      <c r="B124" t="s">
        <v>693</v>
      </c>
      <c r="C124" t="s">
        <v>519</v>
      </c>
      <c r="D124" t="s">
        <v>136</v>
      </c>
      <c r="E124" t="s">
        <v>118</v>
      </c>
      <c r="F124">
        <v>81</v>
      </c>
      <c r="G124">
        <v>20</v>
      </c>
      <c r="H124" t="s">
        <v>693</v>
      </c>
      <c r="I124" t="s">
        <v>694</v>
      </c>
      <c r="J124">
        <v>81</v>
      </c>
      <c r="K124">
        <v>88</v>
      </c>
      <c r="L124">
        <v>52500000</v>
      </c>
      <c r="M124" t="s">
        <v>647</v>
      </c>
      <c r="N124" t="s">
        <v>242</v>
      </c>
      <c r="O124" t="s">
        <v>112</v>
      </c>
      <c r="P124" t="s">
        <v>695</v>
      </c>
      <c r="Q124">
        <v>21</v>
      </c>
      <c r="R124">
        <v>174</v>
      </c>
      <c r="S124">
        <v>64</v>
      </c>
      <c r="T124">
        <v>1950</v>
      </c>
      <c r="U124">
        <v>410</v>
      </c>
      <c r="V124" t="s">
        <v>123</v>
      </c>
      <c r="W124">
        <v>130000</v>
      </c>
      <c r="X124">
        <v>118100000</v>
      </c>
      <c r="Y124" t="s">
        <v>136</v>
      </c>
      <c r="Z124">
        <v>2028</v>
      </c>
      <c r="AA124">
        <v>21</v>
      </c>
      <c r="AB124">
        <v>2019</v>
      </c>
      <c r="AC124" t="s">
        <v>103</v>
      </c>
      <c r="AD124" t="s">
        <v>104</v>
      </c>
      <c r="AE124">
        <v>4</v>
      </c>
      <c r="AF124">
        <v>4</v>
      </c>
      <c r="AG124">
        <v>1</v>
      </c>
      <c r="AH124" t="s">
        <v>103</v>
      </c>
      <c r="AI124" t="s">
        <v>115</v>
      </c>
      <c r="AJ124" t="s">
        <v>103</v>
      </c>
      <c r="AK124" t="s">
        <v>103</v>
      </c>
      <c r="AL124" t="s">
        <v>116</v>
      </c>
      <c r="AM124" t="s">
        <v>116</v>
      </c>
      <c r="AN124">
        <v>88</v>
      </c>
      <c r="AO124">
        <v>76</v>
      </c>
      <c r="AP124">
        <v>74</v>
      </c>
      <c r="AQ124">
        <v>84</v>
      </c>
      <c r="AR124">
        <v>32</v>
      </c>
      <c r="AS124">
        <v>56</v>
      </c>
      <c r="AT124">
        <v>74</v>
      </c>
      <c r="AU124">
        <v>80</v>
      </c>
      <c r="AV124">
        <v>62</v>
      </c>
      <c r="AW124">
        <v>77</v>
      </c>
      <c r="AX124">
        <v>67</v>
      </c>
      <c r="AY124">
        <v>84</v>
      </c>
      <c r="AZ124">
        <v>80</v>
      </c>
      <c r="BA124">
        <v>73</v>
      </c>
      <c r="BB124">
        <v>64</v>
      </c>
      <c r="BC124">
        <v>83</v>
      </c>
      <c r="BD124">
        <v>88</v>
      </c>
      <c r="BE124">
        <v>88</v>
      </c>
      <c r="BF124">
        <v>87</v>
      </c>
      <c r="BG124">
        <v>78</v>
      </c>
      <c r="BH124">
        <v>85</v>
      </c>
      <c r="BI124">
        <v>73</v>
      </c>
      <c r="BJ124">
        <v>74</v>
      </c>
      <c r="BK124">
        <v>81</v>
      </c>
      <c r="BL124">
        <v>42</v>
      </c>
      <c r="BM124">
        <v>74</v>
      </c>
      <c r="BN124">
        <v>54</v>
      </c>
      <c r="BO124">
        <v>21</v>
      </c>
      <c r="BP124">
        <v>79</v>
      </c>
      <c r="BQ124">
        <v>73</v>
      </c>
      <c r="BR124">
        <v>74</v>
      </c>
      <c r="BS124">
        <v>82</v>
      </c>
      <c r="BT124">
        <v>25</v>
      </c>
      <c r="BU124">
        <v>36</v>
      </c>
      <c r="BV124">
        <v>32</v>
      </c>
      <c r="BW124">
        <v>9</v>
      </c>
      <c r="BX124">
        <v>8</v>
      </c>
      <c r="BY124">
        <v>12</v>
      </c>
      <c r="BZ124">
        <v>8</v>
      </c>
      <c r="CA124">
        <v>5</v>
      </c>
      <c r="CB124">
        <v>78</v>
      </c>
      <c r="CC124">
        <v>81</v>
      </c>
      <c r="CD124">
        <v>80</v>
      </c>
      <c r="CE124">
        <v>80</v>
      </c>
      <c r="CF124">
        <v>80</v>
      </c>
      <c r="CG124">
        <v>81</v>
      </c>
      <c r="CH124">
        <v>81</v>
      </c>
      <c r="CI124">
        <v>82</v>
      </c>
      <c r="CJ124">
        <v>74</v>
      </c>
      <c r="CK124">
        <v>82</v>
      </c>
      <c r="CL124">
        <v>62</v>
      </c>
      <c r="CM124">
        <v>56</v>
      </c>
      <c r="CN124">
        <v>62</v>
      </c>
      <c r="CO124">
        <v>59</v>
      </c>
      <c r="CP124">
        <v>47</v>
      </c>
      <c r="CQ124">
        <v>59</v>
      </c>
      <c r="CR124">
        <v>17</v>
      </c>
    </row>
    <row r="125" spans="1:96">
      <c r="A125">
        <v>124</v>
      </c>
      <c r="B125" t="s">
        <v>696</v>
      </c>
      <c r="C125" t="s">
        <v>519</v>
      </c>
      <c r="D125" t="s">
        <v>136</v>
      </c>
      <c r="E125" t="s">
        <v>275</v>
      </c>
      <c r="F125">
        <v>81</v>
      </c>
      <c r="G125">
        <v>20</v>
      </c>
      <c r="H125" t="s">
        <v>697</v>
      </c>
      <c r="I125" t="s">
        <v>698</v>
      </c>
      <c r="J125">
        <v>81</v>
      </c>
      <c r="K125">
        <v>87</v>
      </c>
      <c r="L125">
        <v>41500000</v>
      </c>
      <c r="M125" t="s">
        <v>699</v>
      </c>
      <c r="N125" t="s">
        <v>133</v>
      </c>
      <c r="O125" t="s">
        <v>700</v>
      </c>
      <c r="P125" t="s">
        <v>701</v>
      </c>
      <c r="Q125">
        <v>22</v>
      </c>
      <c r="R125">
        <v>186</v>
      </c>
      <c r="S125">
        <v>75</v>
      </c>
      <c r="T125">
        <v>2091</v>
      </c>
      <c r="U125">
        <v>449</v>
      </c>
      <c r="V125" t="s">
        <v>280</v>
      </c>
      <c r="W125">
        <v>105000</v>
      </c>
      <c r="X125">
        <v>0</v>
      </c>
      <c r="Y125" t="s">
        <v>136</v>
      </c>
      <c r="Z125">
        <v>2023</v>
      </c>
      <c r="AA125">
        <v>21</v>
      </c>
      <c r="AB125">
        <v>2020</v>
      </c>
      <c r="AC125" t="b">
        <v>1</v>
      </c>
      <c r="AD125" t="s">
        <v>137</v>
      </c>
      <c r="AE125">
        <v>3</v>
      </c>
      <c r="AF125">
        <v>4</v>
      </c>
      <c r="AG125">
        <v>2</v>
      </c>
      <c r="AH125" t="s">
        <v>700</v>
      </c>
      <c r="AI125" t="s">
        <v>702</v>
      </c>
      <c r="AJ125" t="s">
        <v>136</v>
      </c>
      <c r="AK125">
        <v>21</v>
      </c>
      <c r="AL125" t="s">
        <v>107</v>
      </c>
      <c r="AM125" t="s">
        <v>116</v>
      </c>
      <c r="AN125">
        <v>78</v>
      </c>
      <c r="AO125">
        <v>77</v>
      </c>
      <c r="AP125">
        <v>79</v>
      </c>
      <c r="AQ125">
        <v>83</v>
      </c>
      <c r="AR125">
        <v>56</v>
      </c>
      <c r="AS125">
        <v>76</v>
      </c>
      <c r="AT125">
        <v>83</v>
      </c>
      <c r="AU125">
        <v>77</v>
      </c>
      <c r="AV125">
        <v>54</v>
      </c>
      <c r="AW125">
        <v>82</v>
      </c>
      <c r="AX125">
        <v>80</v>
      </c>
      <c r="AY125">
        <v>85</v>
      </c>
      <c r="AZ125">
        <v>84</v>
      </c>
      <c r="BA125">
        <v>61</v>
      </c>
      <c r="BB125">
        <v>70</v>
      </c>
      <c r="BC125">
        <v>85</v>
      </c>
      <c r="BD125">
        <v>77</v>
      </c>
      <c r="BE125">
        <v>78</v>
      </c>
      <c r="BF125">
        <v>79</v>
      </c>
      <c r="BG125">
        <v>80</v>
      </c>
      <c r="BH125">
        <v>69</v>
      </c>
      <c r="BI125">
        <v>76</v>
      </c>
      <c r="BJ125">
        <v>66</v>
      </c>
      <c r="BK125">
        <v>83</v>
      </c>
      <c r="BL125">
        <v>78</v>
      </c>
      <c r="BM125">
        <v>82</v>
      </c>
      <c r="BN125">
        <v>67</v>
      </c>
      <c r="BO125">
        <v>55</v>
      </c>
      <c r="BP125">
        <v>78</v>
      </c>
      <c r="BQ125">
        <v>81</v>
      </c>
      <c r="BR125">
        <v>65</v>
      </c>
      <c r="BS125">
        <v>81</v>
      </c>
      <c r="BT125">
        <v>50</v>
      </c>
      <c r="BU125">
        <v>64</v>
      </c>
      <c r="BV125">
        <v>58</v>
      </c>
      <c r="BW125">
        <v>14</v>
      </c>
      <c r="BX125">
        <v>5</v>
      </c>
      <c r="BY125">
        <v>10</v>
      </c>
      <c r="BZ125">
        <v>10</v>
      </c>
      <c r="CA125">
        <v>5</v>
      </c>
      <c r="CB125">
        <v>79</v>
      </c>
      <c r="CC125">
        <v>81</v>
      </c>
      <c r="CD125">
        <v>80</v>
      </c>
      <c r="CE125">
        <v>80</v>
      </c>
      <c r="CF125">
        <v>80</v>
      </c>
      <c r="CG125">
        <v>81</v>
      </c>
      <c r="CH125">
        <v>83</v>
      </c>
      <c r="CI125">
        <v>83</v>
      </c>
      <c r="CJ125">
        <v>80</v>
      </c>
      <c r="CK125">
        <v>83</v>
      </c>
      <c r="CL125">
        <v>74</v>
      </c>
      <c r="CM125">
        <v>72</v>
      </c>
      <c r="CN125">
        <v>74</v>
      </c>
      <c r="CO125">
        <v>71</v>
      </c>
      <c r="CP125">
        <v>66</v>
      </c>
      <c r="CQ125">
        <v>71</v>
      </c>
      <c r="CR125">
        <v>18</v>
      </c>
    </row>
    <row r="126" spans="1:96">
      <c r="A126">
        <v>125</v>
      </c>
      <c r="B126" t="s">
        <v>703</v>
      </c>
      <c r="C126" t="s">
        <v>519</v>
      </c>
      <c r="D126" t="s">
        <v>520</v>
      </c>
      <c r="E126" t="s">
        <v>118</v>
      </c>
      <c r="F126">
        <v>81</v>
      </c>
      <c r="G126">
        <v>20</v>
      </c>
      <c r="H126" t="s">
        <v>703</v>
      </c>
      <c r="I126" t="s">
        <v>704</v>
      </c>
      <c r="J126">
        <v>80</v>
      </c>
      <c r="K126">
        <v>80</v>
      </c>
      <c r="L126">
        <v>17000000</v>
      </c>
      <c r="M126" t="s">
        <v>520</v>
      </c>
      <c r="N126" t="s">
        <v>520</v>
      </c>
      <c r="O126" t="s">
        <v>199</v>
      </c>
      <c r="P126" t="s">
        <v>705</v>
      </c>
      <c r="Q126">
        <v>32</v>
      </c>
      <c r="R126">
        <v>192</v>
      </c>
      <c r="S126">
        <v>80</v>
      </c>
      <c r="T126">
        <v>1888</v>
      </c>
      <c r="U126">
        <v>393</v>
      </c>
      <c r="V126" t="s">
        <v>706</v>
      </c>
      <c r="W126">
        <v>27000</v>
      </c>
      <c r="X126">
        <v>35700000</v>
      </c>
      <c r="Y126" t="s">
        <v>520</v>
      </c>
      <c r="Z126">
        <v>2025</v>
      </c>
      <c r="AA126">
        <v>9</v>
      </c>
      <c r="AB126">
        <v>2022</v>
      </c>
      <c r="AC126" t="s">
        <v>103</v>
      </c>
      <c r="AD126" t="s">
        <v>104</v>
      </c>
      <c r="AE126">
        <v>3</v>
      </c>
      <c r="AF126">
        <v>3</v>
      </c>
      <c r="AG126">
        <v>1</v>
      </c>
      <c r="AH126" t="s">
        <v>103</v>
      </c>
      <c r="AI126" t="s">
        <v>201</v>
      </c>
      <c r="AJ126" t="s">
        <v>103</v>
      </c>
      <c r="AK126" t="s">
        <v>103</v>
      </c>
      <c r="AL126" t="s">
        <v>107</v>
      </c>
      <c r="AM126" t="s">
        <v>116</v>
      </c>
      <c r="AN126">
        <v>63</v>
      </c>
      <c r="AO126">
        <v>81</v>
      </c>
      <c r="AP126">
        <v>69</v>
      </c>
      <c r="AQ126">
        <v>73</v>
      </c>
      <c r="AR126">
        <v>31</v>
      </c>
      <c r="AS126">
        <v>76</v>
      </c>
      <c r="AT126">
        <v>58</v>
      </c>
      <c r="AU126">
        <v>83</v>
      </c>
      <c r="AV126">
        <v>90</v>
      </c>
      <c r="AW126">
        <v>78</v>
      </c>
      <c r="AX126">
        <v>75</v>
      </c>
      <c r="AY126">
        <v>76</v>
      </c>
      <c r="AZ126">
        <v>73</v>
      </c>
      <c r="BA126">
        <v>65</v>
      </c>
      <c r="BB126">
        <v>58</v>
      </c>
      <c r="BC126">
        <v>80</v>
      </c>
      <c r="BD126">
        <v>65</v>
      </c>
      <c r="BE126">
        <v>61</v>
      </c>
      <c r="BF126">
        <v>63</v>
      </c>
      <c r="BG126">
        <v>78</v>
      </c>
      <c r="BH126">
        <v>32</v>
      </c>
      <c r="BI126">
        <v>83</v>
      </c>
      <c r="BJ126">
        <v>91</v>
      </c>
      <c r="BK126">
        <v>65</v>
      </c>
      <c r="BL126">
        <v>83</v>
      </c>
      <c r="BM126">
        <v>75</v>
      </c>
      <c r="BN126">
        <v>67</v>
      </c>
      <c r="BO126">
        <v>25</v>
      </c>
      <c r="BP126">
        <v>83</v>
      </c>
      <c r="BQ126">
        <v>72</v>
      </c>
      <c r="BR126">
        <v>87</v>
      </c>
      <c r="BS126">
        <v>68</v>
      </c>
      <c r="BT126">
        <v>23</v>
      </c>
      <c r="BU126">
        <v>27</v>
      </c>
      <c r="BV126">
        <v>20</v>
      </c>
      <c r="BW126">
        <v>11</v>
      </c>
      <c r="BX126">
        <v>11</v>
      </c>
      <c r="BY126">
        <v>8</v>
      </c>
      <c r="BZ126">
        <v>15</v>
      </c>
      <c r="CA126">
        <v>7</v>
      </c>
      <c r="CB126">
        <v>80</v>
      </c>
      <c r="CC126">
        <v>74</v>
      </c>
      <c r="CD126">
        <v>78</v>
      </c>
      <c r="CE126">
        <v>78</v>
      </c>
      <c r="CF126">
        <v>78</v>
      </c>
      <c r="CG126">
        <v>74</v>
      </c>
      <c r="CH126">
        <v>78</v>
      </c>
      <c r="CI126">
        <v>75</v>
      </c>
      <c r="CJ126">
        <v>71</v>
      </c>
      <c r="CK126">
        <v>75</v>
      </c>
      <c r="CL126">
        <v>54</v>
      </c>
      <c r="CM126">
        <v>55</v>
      </c>
      <c r="CN126">
        <v>54</v>
      </c>
      <c r="CO126">
        <v>51</v>
      </c>
      <c r="CP126">
        <v>52</v>
      </c>
      <c r="CQ126">
        <v>51</v>
      </c>
      <c r="CR126">
        <v>20</v>
      </c>
    </row>
    <row r="127" spans="1:96">
      <c r="A127">
        <v>126</v>
      </c>
      <c r="B127" t="s">
        <v>707</v>
      </c>
      <c r="C127" t="s">
        <v>519</v>
      </c>
      <c r="D127" t="s">
        <v>520</v>
      </c>
      <c r="E127" t="s">
        <v>98</v>
      </c>
      <c r="F127">
        <v>79</v>
      </c>
      <c r="G127">
        <v>20</v>
      </c>
      <c r="H127" t="s">
        <v>708</v>
      </c>
      <c r="I127" t="s">
        <v>709</v>
      </c>
      <c r="J127">
        <v>78</v>
      </c>
      <c r="K127">
        <v>86</v>
      </c>
      <c r="L127">
        <v>32000000</v>
      </c>
      <c r="M127" t="s">
        <v>710</v>
      </c>
      <c r="N127" t="s">
        <v>133</v>
      </c>
      <c r="O127" t="s">
        <v>287</v>
      </c>
      <c r="P127" t="s">
        <v>711</v>
      </c>
      <c r="Q127">
        <v>22</v>
      </c>
      <c r="R127">
        <v>173</v>
      </c>
      <c r="S127">
        <v>71</v>
      </c>
      <c r="T127">
        <v>2122</v>
      </c>
      <c r="U127">
        <v>445</v>
      </c>
      <c r="V127" t="s">
        <v>98</v>
      </c>
      <c r="W127">
        <v>100000</v>
      </c>
      <c r="X127">
        <v>65599999</v>
      </c>
      <c r="Y127" t="s">
        <v>114</v>
      </c>
      <c r="Z127">
        <v>2027</v>
      </c>
      <c r="AA127">
        <v>19</v>
      </c>
      <c r="AB127">
        <v>2022</v>
      </c>
      <c r="AC127" t="s">
        <v>103</v>
      </c>
      <c r="AD127" t="s">
        <v>104</v>
      </c>
      <c r="AE127">
        <v>4</v>
      </c>
      <c r="AF127">
        <v>4</v>
      </c>
      <c r="AG127">
        <v>1</v>
      </c>
      <c r="AH127" t="s">
        <v>287</v>
      </c>
      <c r="AI127" t="s">
        <v>289</v>
      </c>
      <c r="AJ127" t="s">
        <v>114</v>
      </c>
      <c r="AK127">
        <v>15</v>
      </c>
      <c r="AL127" t="s">
        <v>107</v>
      </c>
      <c r="AM127" t="s">
        <v>107</v>
      </c>
      <c r="AN127">
        <v>76</v>
      </c>
      <c r="AO127">
        <v>80</v>
      </c>
      <c r="AP127">
        <v>76</v>
      </c>
      <c r="AQ127">
        <v>83</v>
      </c>
      <c r="AR127">
        <v>55</v>
      </c>
      <c r="AS127">
        <v>75</v>
      </c>
      <c r="AT127">
        <v>75</v>
      </c>
      <c r="AU127">
        <v>80</v>
      </c>
      <c r="AV127">
        <v>68</v>
      </c>
      <c r="AW127">
        <v>73</v>
      </c>
      <c r="AX127">
        <v>75</v>
      </c>
      <c r="AY127">
        <v>82</v>
      </c>
      <c r="AZ127">
        <v>80</v>
      </c>
      <c r="BA127">
        <v>74</v>
      </c>
      <c r="BB127">
        <v>74</v>
      </c>
      <c r="BC127">
        <v>83</v>
      </c>
      <c r="BD127">
        <v>80</v>
      </c>
      <c r="BE127">
        <v>73</v>
      </c>
      <c r="BF127">
        <v>87</v>
      </c>
      <c r="BG127">
        <v>78</v>
      </c>
      <c r="BH127">
        <v>87</v>
      </c>
      <c r="BI127">
        <v>84</v>
      </c>
      <c r="BJ127">
        <v>69</v>
      </c>
      <c r="BK127">
        <v>81</v>
      </c>
      <c r="BL127">
        <v>70</v>
      </c>
      <c r="BM127">
        <v>80</v>
      </c>
      <c r="BN127">
        <v>83</v>
      </c>
      <c r="BO127">
        <v>46</v>
      </c>
      <c r="BP127">
        <v>82</v>
      </c>
      <c r="BQ127">
        <v>81</v>
      </c>
      <c r="BR127">
        <v>73</v>
      </c>
      <c r="BS127">
        <v>82</v>
      </c>
      <c r="BT127">
        <v>60</v>
      </c>
      <c r="BU127">
        <v>53</v>
      </c>
      <c r="BV127">
        <v>46</v>
      </c>
      <c r="BW127">
        <v>6</v>
      </c>
      <c r="BX127">
        <v>10</v>
      </c>
      <c r="BY127">
        <v>8</v>
      </c>
      <c r="BZ127">
        <v>15</v>
      </c>
      <c r="CA127">
        <v>6</v>
      </c>
      <c r="CB127">
        <v>80</v>
      </c>
      <c r="CC127">
        <v>80</v>
      </c>
      <c r="CD127">
        <v>80</v>
      </c>
      <c r="CE127">
        <v>80</v>
      </c>
      <c r="CF127">
        <v>80</v>
      </c>
      <c r="CG127">
        <v>80</v>
      </c>
      <c r="CH127">
        <v>82</v>
      </c>
      <c r="CI127">
        <v>81</v>
      </c>
      <c r="CJ127">
        <v>78</v>
      </c>
      <c r="CK127">
        <v>81</v>
      </c>
      <c r="CL127">
        <v>69</v>
      </c>
      <c r="CM127">
        <v>69</v>
      </c>
      <c r="CN127">
        <v>69</v>
      </c>
      <c r="CO127">
        <v>67</v>
      </c>
      <c r="CP127">
        <v>64</v>
      </c>
      <c r="CQ127">
        <v>67</v>
      </c>
      <c r="CR127">
        <v>19</v>
      </c>
    </row>
    <row r="128" spans="1:96">
      <c r="A128">
        <v>127</v>
      </c>
      <c r="B128" t="s">
        <v>712</v>
      </c>
      <c r="C128" t="s">
        <v>519</v>
      </c>
      <c r="D128" t="s">
        <v>311</v>
      </c>
      <c r="E128" t="s">
        <v>323</v>
      </c>
      <c r="F128">
        <v>79</v>
      </c>
      <c r="G128">
        <v>20</v>
      </c>
      <c r="H128" t="s">
        <v>713</v>
      </c>
      <c r="I128" t="s">
        <v>712</v>
      </c>
      <c r="J128">
        <v>76</v>
      </c>
      <c r="K128">
        <v>88</v>
      </c>
      <c r="L128">
        <v>18500000</v>
      </c>
      <c r="M128" t="s">
        <v>714</v>
      </c>
      <c r="N128" t="s">
        <v>133</v>
      </c>
      <c r="O128" t="s">
        <v>715</v>
      </c>
      <c r="P128" t="s">
        <v>716</v>
      </c>
      <c r="Q128">
        <v>21</v>
      </c>
      <c r="R128">
        <v>183</v>
      </c>
      <c r="S128">
        <v>70</v>
      </c>
      <c r="T128">
        <v>1893</v>
      </c>
      <c r="U128">
        <v>409</v>
      </c>
      <c r="V128" t="s">
        <v>323</v>
      </c>
      <c r="W128">
        <v>37000</v>
      </c>
      <c r="X128">
        <v>35200000</v>
      </c>
      <c r="Y128" t="s">
        <v>311</v>
      </c>
      <c r="Z128">
        <v>2027</v>
      </c>
      <c r="AA128">
        <v>77</v>
      </c>
      <c r="AB128">
        <v>2022</v>
      </c>
      <c r="AC128" t="s">
        <v>103</v>
      </c>
      <c r="AD128" t="s">
        <v>104</v>
      </c>
      <c r="AE128">
        <v>5</v>
      </c>
      <c r="AF128">
        <v>4</v>
      </c>
      <c r="AG128">
        <v>1</v>
      </c>
      <c r="AH128" t="s">
        <v>103</v>
      </c>
      <c r="AI128" t="s">
        <v>103</v>
      </c>
      <c r="AJ128" t="s">
        <v>103</v>
      </c>
      <c r="AK128" t="s">
        <v>103</v>
      </c>
      <c r="AL128" t="s">
        <v>116</v>
      </c>
      <c r="AM128" t="s">
        <v>116</v>
      </c>
      <c r="AN128">
        <v>82</v>
      </c>
      <c r="AO128">
        <v>68</v>
      </c>
      <c r="AP128">
        <v>71</v>
      </c>
      <c r="AQ128">
        <v>81</v>
      </c>
      <c r="AR128">
        <v>41</v>
      </c>
      <c r="AS128">
        <v>66</v>
      </c>
      <c r="AT128">
        <v>69</v>
      </c>
      <c r="AU128">
        <v>68</v>
      </c>
      <c r="AV128">
        <v>62</v>
      </c>
      <c r="AW128">
        <v>74</v>
      </c>
      <c r="AX128">
        <v>55</v>
      </c>
      <c r="AY128">
        <v>83</v>
      </c>
      <c r="AZ128">
        <v>78</v>
      </c>
      <c r="BA128">
        <v>59</v>
      </c>
      <c r="BB128">
        <v>70</v>
      </c>
      <c r="BC128">
        <v>82</v>
      </c>
      <c r="BD128">
        <v>83</v>
      </c>
      <c r="BE128">
        <v>81</v>
      </c>
      <c r="BF128">
        <v>84</v>
      </c>
      <c r="BG128">
        <v>69</v>
      </c>
      <c r="BH128">
        <v>71</v>
      </c>
      <c r="BI128">
        <v>70</v>
      </c>
      <c r="BJ128">
        <v>59</v>
      </c>
      <c r="BK128">
        <v>67</v>
      </c>
      <c r="BL128">
        <v>68</v>
      </c>
      <c r="BM128">
        <v>69</v>
      </c>
      <c r="BN128">
        <v>61</v>
      </c>
      <c r="BO128">
        <v>37</v>
      </c>
      <c r="BP128">
        <v>71</v>
      </c>
      <c r="BQ128">
        <v>72</v>
      </c>
      <c r="BR128">
        <v>63</v>
      </c>
      <c r="BS128">
        <v>76</v>
      </c>
      <c r="BT128">
        <v>41</v>
      </c>
      <c r="BU128">
        <v>39</v>
      </c>
      <c r="BV128">
        <v>34</v>
      </c>
      <c r="BW128">
        <v>9</v>
      </c>
      <c r="BX128">
        <v>15</v>
      </c>
      <c r="BY128">
        <v>8</v>
      </c>
      <c r="BZ128">
        <v>14</v>
      </c>
      <c r="CA128">
        <v>8</v>
      </c>
      <c r="CB128">
        <v>74</v>
      </c>
      <c r="CC128">
        <v>76</v>
      </c>
      <c r="CD128">
        <v>75</v>
      </c>
      <c r="CE128">
        <v>75</v>
      </c>
      <c r="CF128">
        <v>75</v>
      </c>
      <c r="CG128">
        <v>76</v>
      </c>
      <c r="CH128">
        <v>78</v>
      </c>
      <c r="CI128">
        <v>77</v>
      </c>
      <c r="CJ128">
        <v>72</v>
      </c>
      <c r="CK128">
        <v>77</v>
      </c>
      <c r="CL128">
        <v>62</v>
      </c>
      <c r="CM128">
        <v>60</v>
      </c>
      <c r="CN128">
        <v>62</v>
      </c>
      <c r="CO128">
        <v>59</v>
      </c>
      <c r="CP128">
        <v>54</v>
      </c>
      <c r="CQ128">
        <v>59</v>
      </c>
      <c r="CR128">
        <v>20</v>
      </c>
    </row>
    <row r="129" spans="1:96">
      <c r="A129">
        <v>128</v>
      </c>
      <c r="B129" t="s">
        <v>717</v>
      </c>
      <c r="C129" t="s">
        <v>519</v>
      </c>
      <c r="D129" t="s">
        <v>532</v>
      </c>
      <c r="E129" t="s">
        <v>499</v>
      </c>
      <c r="F129">
        <v>86</v>
      </c>
      <c r="G129">
        <v>30</v>
      </c>
      <c r="H129" t="s">
        <v>718</v>
      </c>
      <c r="I129" t="s">
        <v>717</v>
      </c>
      <c r="J129">
        <v>86</v>
      </c>
      <c r="K129">
        <v>89</v>
      </c>
      <c r="L129">
        <v>94000000</v>
      </c>
      <c r="M129" t="s">
        <v>719</v>
      </c>
      <c r="N129" t="s">
        <v>133</v>
      </c>
      <c r="O129" t="s">
        <v>319</v>
      </c>
      <c r="P129" t="s">
        <v>720</v>
      </c>
      <c r="Q129">
        <v>24</v>
      </c>
      <c r="R129">
        <v>175</v>
      </c>
      <c r="S129">
        <v>73</v>
      </c>
      <c r="T129">
        <v>2196</v>
      </c>
      <c r="U129">
        <v>471</v>
      </c>
      <c r="V129" t="s">
        <v>504</v>
      </c>
      <c r="W129">
        <v>90000</v>
      </c>
      <c r="X129">
        <v>166900000</v>
      </c>
      <c r="Y129" t="s">
        <v>133</v>
      </c>
      <c r="Z129">
        <v>2024</v>
      </c>
      <c r="AA129">
        <v>18</v>
      </c>
      <c r="AB129">
        <v>2019</v>
      </c>
      <c r="AC129" t="s">
        <v>103</v>
      </c>
      <c r="AD129" t="s">
        <v>104</v>
      </c>
      <c r="AE129">
        <v>3</v>
      </c>
      <c r="AF129">
        <v>5</v>
      </c>
      <c r="AG129">
        <v>3</v>
      </c>
      <c r="AH129" t="s">
        <v>319</v>
      </c>
      <c r="AI129" t="s">
        <v>321</v>
      </c>
      <c r="AJ129" t="s">
        <v>114</v>
      </c>
      <c r="AK129">
        <v>12</v>
      </c>
      <c r="AL129" t="s">
        <v>107</v>
      </c>
      <c r="AM129" t="s">
        <v>116</v>
      </c>
      <c r="AN129">
        <v>88</v>
      </c>
      <c r="AO129">
        <v>81</v>
      </c>
      <c r="AP129">
        <v>83</v>
      </c>
      <c r="AQ129">
        <v>88</v>
      </c>
      <c r="AR129">
        <v>65</v>
      </c>
      <c r="AS129">
        <v>66</v>
      </c>
      <c r="AT129">
        <v>81</v>
      </c>
      <c r="AU129">
        <v>86</v>
      </c>
      <c r="AV129">
        <v>61</v>
      </c>
      <c r="AW129">
        <v>85</v>
      </c>
      <c r="AX129">
        <v>70</v>
      </c>
      <c r="AY129">
        <v>89</v>
      </c>
      <c r="AZ129">
        <v>82</v>
      </c>
      <c r="BA129">
        <v>80</v>
      </c>
      <c r="BB129">
        <v>80</v>
      </c>
      <c r="BC129">
        <v>88</v>
      </c>
      <c r="BD129">
        <v>87</v>
      </c>
      <c r="BE129">
        <v>89</v>
      </c>
      <c r="BF129">
        <v>88</v>
      </c>
      <c r="BG129">
        <v>85</v>
      </c>
      <c r="BH129">
        <v>90</v>
      </c>
      <c r="BI129">
        <v>79</v>
      </c>
      <c r="BJ129">
        <v>59</v>
      </c>
      <c r="BK129">
        <v>78</v>
      </c>
      <c r="BL129">
        <v>64</v>
      </c>
      <c r="BM129">
        <v>78</v>
      </c>
      <c r="BN129">
        <v>59</v>
      </c>
      <c r="BO129">
        <v>67</v>
      </c>
      <c r="BP129">
        <v>86</v>
      </c>
      <c r="BQ129">
        <v>85</v>
      </c>
      <c r="BR129">
        <v>67</v>
      </c>
      <c r="BS129">
        <v>81</v>
      </c>
      <c r="BT129">
        <v>62</v>
      </c>
      <c r="BU129">
        <v>69</v>
      </c>
      <c r="BV129">
        <v>59</v>
      </c>
      <c r="BW129">
        <v>5</v>
      </c>
      <c r="BX129">
        <v>6</v>
      </c>
      <c r="BY129">
        <v>10</v>
      </c>
      <c r="BZ129">
        <v>15</v>
      </c>
      <c r="CA129">
        <v>7</v>
      </c>
      <c r="CB129">
        <v>85</v>
      </c>
      <c r="CC129">
        <v>86</v>
      </c>
      <c r="CD129">
        <v>85</v>
      </c>
      <c r="CE129">
        <v>85</v>
      </c>
      <c r="CF129">
        <v>85</v>
      </c>
      <c r="CG129">
        <v>86</v>
      </c>
      <c r="CH129">
        <v>89</v>
      </c>
      <c r="CI129">
        <v>89</v>
      </c>
      <c r="CJ129">
        <v>86</v>
      </c>
      <c r="CK129">
        <v>89</v>
      </c>
      <c r="CL129">
        <v>80</v>
      </c>
      <c r="CM129">
        <v>77</v>
      </c>
      <c r="CN129">
        <v>80</v>
      </c>
      <c r="CO129">
        <v>77</v>
      </c>
      <c r="CP129">
        <v>70</v>
      </c>
      <c r="CQ129">
        <v>77</v>
      </c>
      <c r="CR129">
        <v>20</v>
      </c>
    </row>
    <row r="130" spans="1:96">
      <c r="A130">
        <v>129</v>
      </c>
      <c r="B130" t="s">
        <v>721</v>
      </c>
      <c r="C130" t="s">
        <v>519</v>
      </c>
      <c r="D130" t="s">
        <v>136</v>
      </c>
      <c r="E130" t="s">
        <v>98</v>
      </c>
      <c r="F130">
        <v>85</v>
      </c>
      <c r="G130">
        <v>30</v>
      </c>
      <c r="H130" t="s">
        <v>722</v>
      </c>
      <c r="I130" t="s">
        <v>721</v>
      </c>
      <c r="J130">
        <v>86</v>
      </c>
      <c r="K130">
        <v>86</v>
      </c>
      <c r="L130">
        <v>56500000</v>
      </c>
      <c r="M130" t="s">
        <v>672</v>
      </c>
      <c r="N130" t="s">
        <v>136</v>
      </c>
      <c r="O130" t="s">
        <v>723</v>
      </c>
      <c r="P130" t="s">
        <v>724</v>
      </c>
      <c r="Q130">
        <v>31</v>
      </c>
      <c r="R130">
        <v>179</v>
      </c>
      <c r="S130">
        <v>67</v>
      </c>
      <c r="T130">
        <v>2063</v>
      </c>
      <c r="U130">
        <v>432</v>
      </c>
      <c r="V130" t="s">
        <v>98</v>
      </c>
      <c r="W130">
        <v>220000</v>
      </c>
      <c r="X130">
        <v>104500000</v>
      </c>
      <c r="Y130" t="s">
        <v>114</v>
      </c>
      <c r="Z130">
        <v>2025</v>
      </c>
      <c r="AA130">
        <v>26</v>
      </c>
      <c r="AB130">
        <v>2018</v>
      </c>
      <c r="AC130" t="s">
        <v>103</v>
      </c>
      <c r="AD130" t="s">
        <v>137</v>
      </c>
      <c r="AE130">
        <v>4</v>
      </c>
      <c r="AF130">
        <v>5</v>
      </c>
      <c r="AG130">
        <v>3</v>
      </c>
      <c r="AH130" t="s">
        <v>103</v>
      </c>
      <c r="AI130" t="s">
        <v>103</v>
      </c>
      <c r="AJ130" t="s">
        <v>103</v>
      </c>
      <c r="AK130" t="s">
        <v>103</v>
      </c>
      <c r="AL130" t="s">
        <v>116</v>
      </c>
      <c r="AM130" t="s">
        <v>116</v>
      </c>
      <c r="AN130">
        <v>80</v>
      </c>
      <c r="AO130">
        <v>83</v>
      </c>
      <c r="AP130">
        <v>81</v>
      </c>
      <c r="AQ130">
        <v>90</v>
      </c>
      <c r="AR130">
        <v>38</v>
      </c>
      <c r="AS130">
        <v>60</v>
      </c>
      <c r="AT130">
        <v>81</v>
      </c>
      <c r="AU130">
        <v>84</v>
      </c>
      <c r="AV130">
        <v>56</v>
      </c>
      <c r="AW130">
        <v>83</v>
      </c>
      <c r="AX130">
        <v>76</v>
      </c>
      <c r="AY130">
        <v>91</v>
      </c>
      <c r="AZ130">
        <v>85</v>
      </c>
      <c r="BA130">
        <v>78</v>
      </c>
      <c r="BB130">
        <v>75</v>
      </c>
      <c r="BC130">
        <v>90</v>
      </c>
      <c r="BD130">
        <v>84</v>
      </c>
      <c r="BE130">
        <v>77</v>
      </c>
      <c r="BF130">
        <v>92</v>
      </c>
      <c r="BG130">
        <v>83</v>
      </c>
      <c r="BH130">
        <v>88</v>
      </c>
      <c r="BI130">
        <v>84</v>
      </c>
      <c r="BJ130">
        <v>56</v>
      </c>
      <c r="BK130">
        <v>75</v>
      </c>
      <c r="BL130">
        <v>57</v>
      </c>
      <c r="BM130">
        <v>83</v>
      </c>
      <c r="BN130">
        <v>48</v>
      </c>
      <c r="BO130">
        <v>39</v>
      </c>
      <c r="BP130">
        <v>83</v>
      </c>
      <c r="BQ130">
        <v>83</v>
      </c>
      <c r="BR130">
        <v>80</v>
      </c>
      <c r="BS130">
        <v>83</v>
      </c>
      <c r="BT130">
        <v>45</v>
      </c>
      <c r="BU130">
        <v>31</v>
      </c>
      <c r="BV130">
        <v>22</v>
      </c>
      <c r="BW130">
        <v>15</v>
      </c>
      <c r="BX130">
        <v>9</v>
      </c>
      <c r="BY130">
        <v>13</v>
      </c>
      <c r="BZ130">
        <v>11</v>
      </c>
      <c r="CA130">
        <v>6</v>
      </c>
      <c r="CB130">
        <v>83</v>
      </c>
      <c r="CC130">
        <v>85</v>
      </c>
      <c r="CD130">
        <v>85</v>
      </c>
      <c r="CE130">
        <v>85</v>
      </c>
      <c r="CF130">
        <v>85</v>
      </c>
      <c r="CG130">
        <v>85</v>
      </c>
      <c r="CH130">
        <v>86</v>
      </c>
      <c r="CI130">
        <v>86</v>
      </c>
      <c r="CJ130">
        <v>81</v>
      </c>
      <c r="CK130">
        <v>86</v>
      </c>
      <c r="CL130">
        <v>67</v>
      </c>
      <c r="CM130">
        <v>64</v>
      </c>
      <c r="CN130">
        <v>67</v>
      </c>
      <c r="CO130">
        <v>62</v>
      </c>
      <c r="CP130">
        <v>52</v>
      </c>
      <c r="CQ130">
        <v>62</v>
      </c>
      <c r="CR130">
        <v>21</v>
      </c>
    </row>
    <row r="131" spans="1:96">
      <c r="A131">
        <v>130</v>
      </c>
      <c r="B131" t="s">
        <v>725</v>
      </c>
      <c r="C131" t="s">
        <v>519</v>
      </c>
      <c r="D131" t="s">
        <v>520</v>
      </c>
      <c r="E131" t="s">
        <v>374</v>
      </c>
      <c r="F131">
        <v>85</v>
      </c>
      <c r="G131">
        <v>30</v>
      </c>
      <c r="H131" t="s">
        <v>725</v>
      </c>
      <c r="I131" t="s">
        <v>726</v>
      </c>
      <c r="J131">
        <v>85</v>
      </c>
      <c r="K131">
        <v>85</v>
      </c>
      <c r="L131">
        <v>53000000</v>
      </c>
      <c r="M131" t="s">
        <v>520</v>
      </c>
      <c r="N131" t="s">
        <v>520</v>
      </c>
      <c r="O131" t="s">
        <v>199</v>
      </c>
      <c r="P131" t="s">
        <v>727</v>
      </c>
      <c r="Q131">
        <v>30</v>
      </c>
      <c r="R131">
        <v>180</v>
      </c>
      <c r="S131">
        <v>77</v>
      </c>
      <c r="T131">
        <v>2109</v>
      </c>
      <c r="U131">
        <v>442</v>
      </c>
      <c r="V131" t="s">
        <v>374</v>
      </c>
      <c r="W131">
        <v>64000</v>
      </c>
      <c r="X131">
        <v>111300000</v>
      </c>
      <c r="Y131" t="s">
        <v>520</v>
      </c>
      <c r="Z131">
        <v>2027</v>
      </c>
      <c r="AA131">
        <v>7</v>
      </c>
      <c r="AB131">
        <v>2018</v>
      </c>
      <c r="AC131" t="s">
        <v>103</v>
      </c>
      <c r="AD131" t="s">
        <v>137</v>
      </c>
      <c r="AE131">
        <v>4</v>
      </c>
      <c r="AF131">
        <v>3</v>
      </c>
      <c r="AG131">
        <v>2</v>
      </c>
      <c r="AH131" t="s">
        <v>199</v>
      </c>
      <c r="AI131" t="s">
        <v>201</v>
      </c>
      <c r="AJ131" t="s">
        <v>114</v>
      </c>
      <c r="AK131">
        <v>9</v>
      </c>
      <c r="AL131" t="s">
        <v>107</v>
      </c>
      <c r="AM131" t="s">
        <v>116</v>
      </c>
      <c r="AN131">
        <v>78</v>
      </c>
      <c r="AO131">
        <v>86</v>
      </c>
      <c r="AP131">
        <v>77</v>
      </c>
      <c r="AQ131">
        <v>83</v>
      </c>
      <c r="AR131">
        <v>46</v>
      </c>
      <c r="AS131">
        <v>72</v>
      </c>
      <c r="AT131">
        <v>77</v>
      </c>
      <c r="AU131">
        <v>89</v>
      </c>
      <c r="AV131">
        <v>82</v>
      </c>
      <c r="AW131">
        <v>79</v>
      </c>
      <c r="AX131">
        <v>81</v>
      </c>
      <c r="AY131">
        <v>85</v>
      </c>
      <c r="AZ131">
        <v>77</v>
      </c>
      <c r="BA131">
        <v>62</v>
      </c>
      <c r="BB131">
        <v>75</v>
      </c>
      <c r="BC131">
        <v>84</v>
      </c>
      <c r="BD131">
        <v>78</v>
      </c>
      <c r="BE131">
        <v>78</v>
      </c>
      <c r="BF131">
        <v>77</v>
      </c>
      <c r="BG131">
        <v>85</v>
      </c>
      <c r="BH131">
        <v>72</v>
      </c>
      <c r="BI131">
        <v>83</v>
      </c>
      <c r="BJ131">
        <v>79</v>
      </c>
      <c r="BK131">
        <v>77</v>
      </c>
      <c r="BL131">
        <v>74</v>
      </c>
      <c r="BM131">
        <v>82</v>
      </c>
      <c r="BN131">
        <v>61</v>
      </c>
      <c r="BO131">
        <v>42</v>
      </c>
      <c r="BP131">
        <v>85</v>
      </c>
      <c r="BQ131">
        <v>78</v>
      </c>
      <c r="BR131">
        <v>85</v>
      </c>
      <c r="BS131">
        <v>80</v>
      </c>
      <c r="BT131">
        <v>44</v>
      </c>
      <c r="BU131">
        <v>41</v>
      </c>
      <c r="BV131">
        <v>41</v>
      </c>
      <c r="BW131">
        <v>15</v>
      </c>
      <c r="BX131">
        <v>12</v>
      </c>
      <c r="BY131">
        <v>7</v>
      </c>
      <c r="BZ131">
        <v>12</v>
      </c>
      <c r="CA131">
        <v>10</v>
      </c>
      <c r="CB131">
        <v>85</v>
      </c>
      <c r="CC131">
        <v>82</v>
      </c>
      <c r="CD131">
        <v>83</v>
      </c>
      <c r="CE131">
        <v>83</v>
      </c>
      <c r="CF131">
        <v>83</v>
      </c>
      <c r="CG131">
        <v>82</v>
      </c>
      <c r="CH131">
        <v>84</v>
      </c>
      <c r="CI131">
        <v>83</v>
      </c>
      <c r="CJ131">
        <v>79</v>
      </c>
      <c r="CK131">
        <v>83</v>
      </c>
      <c r="CL131">
        <v>67</v>
      </c>
      <c r="CM131">
        <v>65</v>
      </c>
      <c r="CN131">
        <v>67</v>
      </c>
      <c r="CO131">
        <v>65</v>
      </c>
      <c r="CP131">
        <v>60</v>
      </c>
      <c r="CQ131">
        <v>65</v>
      </c>
      <c r="CR131">
        <v>22</v>
      </c>
    </row>
    <row r="132" spans="1:96">
      <c r="A132">
        <v>131</v>
      </c>
      <c r="B132" t="s">
        <v>728</v>
      </c>
      <c r="C132" t="s">
        <v>519</v>
      </c>
      <c r="D132" t="s">
        <v>520</v>
      </c>
      <c r="E132" t="s">
        <v>217</v>
      </c>
      <c r="F132">
        <v>84</v>
      </c>
      <c r="G132">
        <v>30</v>
      </c>
      <c r="H132" t="s">
        <v>729</v>
      </c>
      <c r="I132" t="s">
        <v>730</v>
      </c>
      <c r="J132">
        <v>83</v>
      </c>
      <c r="K132">
        <v>86</v>
      </c>
      <c r="L132">
        <v>48500000</v>
      </c>
      <c r="M132" t="s">
        <v>731</v>
      </c>
      <c r="N132" t="s">
        <v>520</v>
      </c>
      <c r="O132" t="s">
        <v>112</v>
      </c>
      <c r="P132" t="s">
        <v>732</v>
      </c>
      <c r="Q132">
        <v>25</v>
      </c>
      <c r="R132">
        <v>175</v>
      </c>
      <c r="S132">
        <v>73</v>
      </c>
      <c r="T132">
        <v>2078</v>
      </c>
      <c r="U132">
        <v>440</v>
      </c>
      <c r="V132" t="s">
        <v>217</v>
      </c>
      <c r="W132">
        <v>115000</v>
      </c>
      <c r="X132">
        <v>95800000</v>
      </c>
      <c r="Y132" t="s">
        <v>520</v>
      </c>
      <c r="Z132">
        <v>2027</v>
      </c>
      <c r="AA132">
        <v>9</v>
      </c>
      <c r="AB132">
        <v>2022</v>
      </c>
      <c r="AC132" t="s">
        <v>103</v>
      </c>
      <c r="AD132" t="s">
        <v>104</v>
      </c>
      <c r="AE132">
        <v>3</v>
      </c>
      <c r="AF132">
        <v>4</v>
      </c>
      <c r="AG132">
        <v>2</v>
      </c>
      <c r="AH132" t="s">
        <v>103</v>
      </c>
      <c r="AI132" t="s">
        <v>115</v>
      </c>
      <c r="AJ132" t="s">
        <v>103</v>
      </c>
      <c r="AK132" t="s">
        <v>103</v>
      </c>
      <c r="AL132" t="s">
        <v>107</v>
      </c>
      <c r="AM132" t="s">
        <v>107</v>
      </c>
      <c r="AN132">
        <v>84</v>
      </c>
      <c r="AO132">
        <v>82</v>
      </c>
      <c r="AP132">
        <v>74</v>
      </c>
      <c r="AQ132">
        <v>86</v>
      </c>
      <c r="AR132">
        <v>40</v>
      </c>
      <c r="AS132">
        <v>74</v>
      </c>
      <c r="AT132">
        <v>74</v>
      </c>
      <c r="AU132">
        <v>83</v>
      </c>
      <c r="AV132">
        <v>78</v>
      </c>
      <c r="AW132">
        <v>78</v>
      </c>
      <c r="AX132">
        <v>78</v>
      </c>
      <c r="AY132">
        <v>87</v>
      </c>
      <c r="AZ132">
        <v>76</v>
      </c>
      <c r="BA132">
        <v>54</v>
      </c>
      <c r="BB132">
        <v>66</v>
      </c>
      <c r="BC132">
        <v>85</v>
      </c>
      <c r="BD132">
        <v>87</v>
      </c>
      <c r="BE132">
        <v>82</v>
      </c>
      <c r="BF132">
        <v>91</v>
      </c>
      <c r="BG132">
        <v>85</v>
      </c>
      <c r="BH132">
        <v>87</v>
      </c>
      <c r="BI132">
        <v>84</v>
      </c>
      <c r="BJ132">
        <v>79</v>
      </c>
      <c r="BK132">
        <v>82</v>
      </c>
      <c r="BL132">
        <v>69</v>
      </c>
      <c r="BM132">
        <v>77</v>
      </c>
      <c r="BN132">
        <v>75</v>
      </c>
      <c r="BO132">
        <v>32</v>
      </c>
      <c r="BP132">
        <v>86</v>
      </c>
      <c r="BQ132">
        <v>77</v>
      </c>
      <c r="BR132">
        <v>75</v>
      </c>
      <c r="BS132">
        <v>78</v>
      </c>
      <c r="BT132">
        <v>45</v>
      </c>
      <c r="BU132">
        <v>30</v>
      </c>
      <c r="BV132">
        <v>28</v>
      </c>
      <c r="BW132">
        <v>13</v>
      </c>
      <c r="BX132">
        <v>8</v>
      </c>
      <c r="BY132">
        <v>6</v>
      </c>
      <c r="BZ132">
        <v>6</v>
      </c>
      <c r="CA132">
        <v>15</v>
      </c>
      <c r="CB132">
        <v>85</v>
      </c>
      <c r="CC132">
        <v>83</v>
      </c>
      <c r="CD132">
        <v>83</v>
      </c>
      <c r="CE132">
        <v>83</v>
      </c>
      <c r="CF132">
        <v>83</v>
      </c>
      <c r="CG132">
        <v>83</v>
      </c>
      <c r="CH132">
        <v>84</v>
      </c>
      <c r="CI132">
        <v>84</v>
      </c>
      <c r="CJ132">
        <v>77</v>
      </c>
      <c r="CK132">
        <v>84</v>
      </c>
      <c r="CL132">
        <v>65</v>
      </c>
      <c r="CM132">
        <v>62</v>
      </c>
      <c r="CN132">
        <v>65</v>
      </c>
      <c r="CO132">
        <v>61</v>
      </c>
      <c r="CP132">
        <v>56</v>
      </c>
      <c r="CQ132">
        <v>61</v>
      </c>
      <c r="CR132">
        <v>20</v>
      </c>
    </row>
    <row r="133" spans="1:96">
      <c r="A133">
        <v>132</v>
      </c>
      <c r="B133" t="s">
        <v>733</v>
      </c>
      <c r="C133" t="s">
        <v>734</v>
      </c>
      <c r="D133" t="s">
        <v>419</v>
      </c>
      <c r="E133" t="s">
        <v>182</v>
      </c>
      <c r="F133">
        <v>89</v>
      </c>
      <c r="G133">
        <v>40</v>
      </c>
      <c r="H133" t="s">
        <v>735</v>
      </c>
      <c r="I133" t="s">
        <v>733</v>
      </c>
      <c r="J133">
        <v>90</v>
      </c>
      <c r="K133">
        <v>90</v>
      </c>
      <c r="L133">
        <v>98000000</v>
      </c>
      <c r="M133" t="s">
        <v>419</v>
      </c>
      <c r="N133" t="s">
        <v>419</v>
      </c>
      <c r="O133" t="s">
        <v>142</v>
      </c>
      <c r="P133" t="s">
        <v>736</v>
      </c>
      <c r="Q133">
        <v>30</v>
      </c>
      <c r="R133">
        <v>193</v>
      </c>
      <c r="S133">
        <v>92</v>
      </c>
      <c r="T133">
        <v>2117</v>
      </c>
      <c r="U133">
        <v>461</v>
      </c>
      <c r="V133" t="s">
        <v>182</v>
      </c>
      <c r="W133">
        <v>230000</v>
      </c>
      <c r="X133">
        <v>181300000</v>
      </c>
      <c r="Y133" t="s">
        <v>419</v>
      </c>
      <c r="Z133">
        <v>2025</v>
      </c>
      <c r="AA133">
        <v>4</v>
      </c>
      <c r="AB133">
        <v>2018</v>
      </c>
      <c r="AC133" t="s">
        <v>103</v>
      </c>
      <c r="AD133" t="s">
        <v>104</v>
      </c>
      <c r="AE133">
        <v>3</v>
      </c>
      <c r="AF133">
        <v>2</v>
      </c>
      <c r="AG133">
        <v>4</v>
      </c>
      <c r="AH133" t="s">
        <v>142</v>
      </c>
      <c r="AI133" t="s">
        <v>145</v>
      </c>
      <c r="AJ133" t="s">
        <v>419</v>
      </c>
      <c r="AK133">
        <v>4</v>
      </c>
      <c r="AL133" t="s">
        <v>116</v>
      </c>
      <c r="AM133" t="s">
        <v>107</v>
      </c>
      <c r="AN133">
        <v>81</v>
      </c>
      <c r="AO133">
        <v>60</v>
      </c>
      <c r="AP133">
        <v>71</v>
      </c>
      <c r="AQ133">
        <v>72</v>
      </c>
      <c r="AR133">
        <v>91</v>
      </c>
      <c r="AS133">
        <v>86</v>
      </c>
      <c r="AT133">
        <v>53</v>
      </c>
      <c r="AU133">
        <v>52</v>
      </c>
      <c r="AV133">
        <v>87</v>
      </c>
      <c r="AW133">
        <v>79</v>
      </c>
      <c r="AX133">
        <v>45</v>
      </c>
      <c r="AY133">
        <v>70</v>
      </c>
      <c r="AZ133">
        <v>60</v>
      </c>
      <c r="BA133">
        <v>70</v>
      </c>
      <c r="BB133">
        <v>86</v>
      </c>
      <c r="BC133">
        <v>76</v>
      </c>
      <c r="BD133">
        <v>68</v>
      </c>
      <c r="BE133">
        <v>91</v>
      </c>
      <c r="BF133">
        <v>61</v>
      </c>
      <c r="BG133">
        <v>89</v>
      </c>
      <c r="BH133">
        <v>53</v>
      </c>
      <c r="BI133">
        <v>81</v>
      </c>
      <c r="BJ133">
        <v>88</v>
      </c>
      <c r="BK133">
        <v>74</v>
      </c>
      <c r="BL133">
        <v>93</v>
      </c>
      <c r="BM133">
        <v>64</v>
      </c>
      <c r="BN133">
        <v>85</v>
      </c>
      <c r="BO133">
        <v>90</v>
      </c>
      <c r="BP133">
        <v>47</v>
      </c>
      <c r="BQ133">
        <v>65</v>
      </c>
      <c r="BR133">
        <v>62</v>
      </c>
      <c r="BS133">
        <v>90</v>
      </c>
      <c r="BT133">
        <v>92</v>
      </c>
      <c r="BU133">
        <v>92</v>
      </c>
      <c r="BV133">
        <v>86</v>
      </c>
      <c r="BW133">
        <v>13</v>
      </c>
      <c r="BX133">
        <v>10</v>
      </c>
      <c r="BY133">
        <v>13</v>
      </c>
      <c r="BZ133">
        <v>11</v>
      </c>
      <c r="CA133">
        <v>11</v>
      </c>
      <c r="CB133">
        <v>74</v>
      </c>
      <c r="CC133">
        <v>68</v>
      </c>
      <c r="CD133">
        <v>70</v>
      </c>
      <c r="CE133">
        <v>70</v>
      </c>
      <c r="CF133">
        <v>70</v>
      </c>
      <c r="CG133">
        <v>68</v>
      </c>
      <c r="CH133">
        <v>73</v>
      </c>
      <c r="CI133">
        <v>73</v>
      </c>
      <c r="CJ133">
        <v>79</v>
      </c>
      <c r="CK133">
        <v>73</v>
      </c>
      <c r="CL133">
        <v>83</v>
      </c>
      <c r="CM133">
        <v>88</v>
      </c>
      <c r="CN133">
        <v>83</v>
      </c>
      <c r="CO133">
        <v>85</v>
      </c>
      <c r="CP133">
        <v>90</v>
      </c>
      <c r="CQ133">
        <v>85</v>
      </c>
      <c r="CR133">
        <v>23</v>
      </c>
    </row>
    <row r="134" spans="1:96">
      <c r="A134">
        <v>133</v>
      </c>
      <c r="B134" t="s">
        <v>737</v>
      </c>
      <c r="C134" t="s">
        <v>734</v>
      </c>
      <c r="D134" t="s">
        <v>109</v>
      </c>
      <c r="E134" t="s">
        <v>426</v>
      </c>
      <c r="F134">
        <v>89</v>
      </c>
      <c r="G134">
        <v>40</v>
      </c>
      <c r="H134" t="s">
        <v>738</v>
      </c>
      <c r="I134" t="s">
        <v>737</v>
      </c>
      <c r="J134">
        <v>89</v>
      </c>
      <c r="K134">
        <v>90</v>
      </c>
      <c r="L134">
        <v>105500000</v>
      </c>
      <c r="M134" t="s">
        <v>739</v>
      </c>
      <c r="N134" t="s">
        <v>109</v>
      </c>
      <c r="O134" t="s">
        <v>127</v>
      </c>
      <c r="P134" t="s">
        <v>740</v>
      </c>
      <c r="Q134">
        <v>27</v>
      </c>
      <c r="R134">
        <v>177</v>
      </c>
      <c r="S134">
        <v>75</v>
      </c>
      <c r="T134">
        <v>2283</v>
      </c>
      <c r="U134">
        <v>473</v>
      </c>
      <c r="V134" t="s">
        <v>151</v>
      </c>
      <c r="W134">
        <v>130000</v>
      </c>
      <c r="X134">
        <v>182000000</v>
      </c>
      <c r="Y134" t="s">
        <v>109</v>
      </c>
      <c r="Z134">
        <v>2025</v>
      </c>
      <c r="AA134">
        <v>6</v>
      </c>
      <c r="AB134">
        <v>2015</v>
      </c>
      <c r="AC134" t="s">
        <v>103</v>
      </c>
      <c r="AD134" t="s">
        <v>104</v>
      </c>
      <c r="AE134">
        <v>4</v>
      </c>
      <c r="AF134">
        <v>3</v>
      </c>
      <c r="AG134">
        <v>4</v>
      </c>
      <c r="AH134" t="s">
        <v>127</v>
      </c>
      <c r="AI134" t="s">
        <v>129</v>
      </c>
      <c r="AJ134" t="s">
        <v>109</v>
      </c>
      <c r="AK134">
        <v>6</v>
      </c>
      <c r="AL134" t="s">
        <v>107</v>
      </c>
      <c r="AM134" t="s">
        <v>116</v>
      </c>
      <c r="AN134">
        <v>68</v>
      </c>
      <c r="AO134">
        <v>72</v>
      </c>
      <c r="AP134">
        <v>87</v>
      </c>
      <c r="AQ134">
        <v>84</v>
      </c>
      <c r="AR134">
        <v>83</v>
      </c>
      <c r="AS134">
        <v>79</v>
      </c>
      <c r="AT134">
        <v>91</v>
      </c>
      <c r="AU134">
        <v>68</v>
      </c>
      <c r="AV134">
        <v>72</v>
      </c>
      <c r="AW134">
        <v>87</v>
      </c>
      <c r="AX134">
        <v>69</v>
      </c>
      <c r="AY134">
        <v>82</v>
      </c>
      <c r="AZ134">
        <v>85</v>
      </c>
      <c r="BA134">
        <v>69</v>
      </c>
      <c r="BB134">
        <v>90</v>
      </c>
      <c r="BC134">
        <v>85</v>
      </c>
      <c r="BD134">
        <v>77</v>
      </c>
      <c r="BE134">
        <v>60</v>
      </c>
      <c r="BF134">
        <v>84</v>
      </c>
      <c r="BG134">
        <v>88</v>
      </c>
      <c r="BH134">
        <v>84</v>
      </c>
      <c r="BI134">
        <v>78</v>
      </c>
      <c r="BJ134">
        <v>79</v>
      </c>
      <c r="BK134">
        <v>94</v>
      </c>
      <c r="BL134">
        <v>68</v>
      </c>
      <c r="BM134">
        <v>83</v>
      </c>
      <c r="BN134">
        <v>89</v>
      </c>
      <c r="BO134">
        <v>84</v>
      </c>
      <c r="BP134">
        <v>80</v>
      </c>
      <c r="BQ134">
        <v>85</v>
      </c>
      <c r="BR134">
        <v>44</v>
      </c>
      <c r="BS134">
        <v>85</v>
      </c>
      <c r="BT134">
        <v>85</v>
      </c>
      <c r="BU134">
        <v>85</v>
      </c>
      <c r="BV134">
        <v>78</v>
      </c>
      <c r="BW134">
        <v>8</v>
      </c>
      <c r="BX134">
        <v>15</v>
      </c>
      <c r="BY134">
        <v>7</v>
      </c>
      <c r="BZ134">
        <v>15</v>
      </c>
      <c r="CA134">
        <v>15</v>
      </c>
      <c r="CB134">
        <v>80</v>
      </c>
      <c r="CC134">
        <v>81</v>
      </c>
      <c r="CD134">
        <v>80</v>
      </c>
      <c r="CE134">
        <v>80</v>
      </c>
      <c r="CF134">
        <v>80</v>
      </c>
      <c r="CG134">
        <v>81</v>
      </c>
      <c r="CH134">
        <v>85</v>
      </c>
      <c r="CI134">
        <v>86</v>
      </c>
      <c r="CJ134">
        <v>89</v>
      </c>
      <c r="CK134">
        <v>86</v>
      </c>
      <c r="CL134">
        <v>87</v>
      </c>
      <c r="CM134">
        <v>89</v>
      </c>
      <c r="CN134">
        <v>87</v>
      </c>
      <c r="CO134">
        <v>86</v>
      </c>
      <c r="CP134">
        <v>84</v>
      </c>
      <c r="CQ134">
        <v>86</v>
      </c>
      <c r="CR134">
        <v>24</v>
      </c>
    </row>
    <row r="135" spans="1:96">
      <c r="A135">
        <v>134</v>
      </c>
      <c r="B135" t="s">
        <v>741</v>
      </c>
      <c r="C135" t="s">
        <v>734</v>
      </c>
      <c r="D135" t="s">
        <v>419</v>
      </c>
      <c r="E135" t="s">
        <v>153</v>
      </c>
      <c r="F135">
        <v>88</v>
      </c>
      <c r="G135">
        <v>40</v>
      </c>
      <c r="H135" t="s">
        <v>741</v>
      </c>
      <c r="I135" t="s">
        <v>742</v>
      </c>
      <c r="J135">
        <v>88</v>
      </c>
      <c r="K135">
        <v>90</v>
      </c>
      <c r="L135">
        <v>92000000</v>
      </c>
      <c r="M135" t="s">
        <v>419</v>
      </c>
      <c r="N135" t="s">
        <v>419</v>
      </c>
      <c r="O135" t="s">
        <v>112</v>
      </c>
      <c r="P135" t="s">
        <v>743</v>
      </c>
      <c r="Q135">
        <v>28</v>
      </c>
      <c r="R135">
        <v>183</v>
      </c>
      <c r="S135">
        <v>75</v>
      </c>
      <c r="T135">
        <v>2082</v>
      </c>
      <c r="U135">
        <v>453</v>
      </c>
      <c r="V135" t="s">
        <v>158</v>
      </c>
      <c r="W135">
        <v>170000</v>
      </c>
      <c r="X135">
        <v>177100000</v>
      </c>
      <c r="Y135" t="s">
        <v>419</v>
      </c>
      <c r="Z135">
        <v>2024</v>
      </c>
      <c r="AA135">
        <v>5</v>
      </c>
      <c r="AB135">
        <v>2013</v>
      </c>
      <c r="AC135" t="s">
        <v>103</v>
      </c>
      <c r="AD135" t="s">
        <v>104</v>
      </c>
      <c r="AE135">
        <v>3</v>
      </c>
      <c r="AF135">
        <v>3</v>
      </c>
      <c r="AG135">
        <v>3</v>
      </c>
      <c r="AH135" t="s">
        <v>103</v>
      </c>
      <c r="AI135" t="s">
        <v>115</v>
      </c>
      <c r="AJ135" t="s">
        <v>103</v>
      </c>
      <c r="AK135" t="s">
        <v>103</v>
      </c>
      <c r="AL135" t="s">
        <v>116</v>
      </c>
      <c r="AM135" t="s">
        <v>107</v>
      </c>
      <c r="AN135">
        <v>79</v>
      </c>
      <c r="AO135">
        <v>56</v>
      </c>
      <c r="AP135">
        <v>75</v>
      </c>
      <c r="AQ135">
        <v>74</v>
      </c>
      <c r="AR135">
        <v>89</v>
      </c>
      <c r="AS135">
        <v>80</v>
      </c>
      <c r="AT135">
        <v>68</v>
      </c>
      <c r="AU135">
        <v>59</v>
      </c>
      <c r="AV135">
        <v>88</v>
      </c>
      <c r="AW135">
        <v>84</v>
      </c>
      <c r="AX135">
        <v>35</v>
      </c>
      <c r="AY135">
        <v>69</v>
      </c>
      <c r="AZ135">
        <v>58</v>
      </c>
      <c r="BA135">
        <v>32</v>
      </c>
      <c r="BB135">
        <v>85</v>
      </c>
      <c r="BC135">
        <v>79</v>
      </c>
      <c r="BD135">
        <v>77</v>
      </c>
      <c r="BE135">
        <v>81</v>
      </c>
      <c r="BF135">
        <v>68</v>
      </c>
      <c r="BG135">
        <v>88</v>
      </c>
      <c r="BH135">
        <v>66</v>
      </c>
      <c r="BI135">
        <v>65</v>
      </c>
      <c r="BJ135">
        <v>92</v>
      </c>
      <c r="BK135">
        <v>82</v>
      </c>
      <c r="BL135">
        <v>78</v>
      </c>
      <c r="BM135">
        <v>45</v>
      </c>
      <c r="BN135">
        <v>81</v>
      </c>
      <c r="BO135">
        <v>89</v>
      </c>
      <c r="BP135">
        <v>70</v>
      </c>
      <c r="BQ135">
        <v>76</v>
      </c>
      <c r="BR135">
        <v>52</v>
      </c>
      <c r="BS135">
        <v>86</v>
      </c>
      <c r="BT135">
        <v>90</v>
      </c>
      <c r="BU135">
        <v>89</v>
      </c>
      <c r="BV135">
        <v>89</v>
      </c>
      <c r="BW135">
        <v>6</v>
      </c>
      <c r="BX135">
        <v>6</v>
      </c>
      <c r="BY135">
        <v>12</v>
      </c>
      <c r="BZ135">
        <v>10</v>
      </c>
      <c r="CA135">
        <v>13</v>
      </c>
      <c r="CB135">
        <v>75</v>
      </c>
      <c r="CC135">
        <v>73</v>
      </c>
      <c r="CD135">
        <v>73</v>
      </c>
      <c r="CE135">
        <v>73</v>
      </c>
      <c r="CF135">
        <v>73</v>
      </c>
      <c r="CG135">
        <v>73</v>
      </c>
      <c r="CH135">
        <v>78</v>
      </c>
      <c r="CI135">
        <v>79</v>
      </c>
      <c r="CJ135">
        <v>82</v>
      </c>
      <c r="CK135">
        <v>79</v>
      </c>
      <c r="CL135">
        <v>86</v>
      </c>
      <c r="CM135">
        <v>88</v>
      </c>
      <c r="CN135">
        <v>86</v>
      </c>
      <c r="CO135">
        <v>87</v>
      </c>
      <c r="CP135">
        <v>90</v>
      </c>
      <c r="CQ135">
        <v>87</v>
      </c>
      <c r="CR135">
        <v>21</v>
      </c>
    </row>
    <row r="136" spans="1:96">
      <c r="A136">
        <v>135</v>
      </c>
      <c r="B136" t="s">
        <v>744</v>
      </c>
      <c r="C136" t="s">
        <v>734</v>
      </c>
      <c r="D136" t="s">
        <v>419</v>
      </c>
      <c r="E136" t="s">
        <v>98</v>
      </c>
      <c r="F136">
        <v>88</v>
      </c>
      <c r="G136">
        <v>40</v>
      </c>
      <c r="H136" t="s">
        <v>745</v>
      </c>
      <c r="I136" t="s">
        <v>746</v>
      </c>
      <c r="J136">
        <v>88</v>
      </c>
      <c r="K136">
        <v>91</v>
      </c>
      <c r="L136">
        <v>107500000</v>
      </c>
      <c r="M136" t="s">
        <v>419</v>
      </c>
      <c r="N136" t="s">
        <v>419</v>
      </c>
      <c r="O136" t="s">
        <v>134</v>
      </c>
      <c r="P136" t="s">
        <v>747</v>
      </c>
      <c r="Q136">
        <v>25</v>
      </c>
      <c r="R136">
        <v>187</v>
      </c>
      <c r="S136">
        <v>82</v>
      </c>
      <c r="T136">
        <v>1894</v>
      </c>
      <c r="U136">
        <v>412</v>
      </c>
      <c r="V136" t="s">
        <v>98</v>
      </c>
      <c r="W136">
        <v>230000</v>
      </c>
      <c r="X136">
        <v>206900000</v>
      </c>
      <c r="Y136" t="s">
        <v>419</v>
      </c>
      <c r="Z136">
        <v>2027</v>
      </c>
      <c r="AA136">
        <v>3</v>
      </c>
      <c r="AB136">
        <v>2020</v>
      </c>
      <c r="AC136" t="s">
        <v>103</v>
      </c>
      <c r="AD136" t="s">
        <v>104</v>
      </c>
      <c r="AE136">
        <v>4</v>
      </c>
      <c r="AF136">
        <v>2</v>
      </c>
      <c r="AG136">
        <v>3</v>
      </c>
      <c r="AH136" t="s">
        <v>134</v>
      </c>
      <c r="AI136" t="s">
        <v>138</v>
      </c>
      <c r="AJ136" t="s">
        <v>419</v>
      </c>
      <c r="AK136">
        <v>4</v>
      </c>
      <c r="AL136" t="s">
        <v>116</v>
      </c>
      <c r="AM136" t="s">
        <v>107</v>
      </c>
      <c r="AN136">
        <v>63</v>
      </c>
      <c r="AO136">
        <v>39</v>
      </c>
      <c r="AP136">
        <v>66</v>
      </c>
      <c r="AQ136">
        <v>68</v>
      </c>
      <c r="AR136">
        <v>88</v>
      </c>
      <c r="AS136">
        <v>88</v>
      </c>
      <c r="AT136">
        <v>54</v>
      </c>
      <c r="AU136">
        <v>29</v>
      </c>
      <c r="AV136">
        <v>87</v>
      </c>
      <c r="AW136">
        <v>82</v>
      </c>
      <c r="AX136">
        <v>32</v>
      </c>
      <c r="AY136">
        <v>64</v>
      </c>
      <c r="AZ136">
        <v>46</v>
      </c>
      <c r="BA136">
        <v>48</v>
      </c>
      <c r="BB136">
        <v>76</v>
      </c>
      <c r="BC136">
        <v>74</v>
      </c>
      <c r="BD136">
        <v>57</v>
      </c>
      <c r="BE136">
        <v>67</v>
      </c>
      <c r="BF136">
        <v>60</v>
      </c>
      <c r="BG136">
        <v>89</v>
      </c>
      <c r="BH136">
        <v>56</v>
      </c>
      <c r="BI136">
        <v>74</v>
      </c>
      <c r="BJ136">
        <v>78</v>
      </c>
      <c r="BK136">
        <v>83</v>
      </c>
      <c r="BL136">
        <v>89</v>
      </c>
      <c r="BM136">
        <v>26</v>
      </c>
      <c r="BN136">
        <v>92</v>
      </c>
      <c r="BO136">
        <v>85</v>
      </c>
      <c r="BP136">
        <v>39</v>
      </c>
      <c r="BQ136">
        <v>51</v>
      </c>
      <c r="BR136">
        <v>45</v>
      </c>
      <c r="BS136">
        <v>81</v>
      </c>
      <c r="BT136">
        <v>90</v>
      </c>
      <c r="BU136">
        <v>89</v>
      </c>
      <c r="BV136">
        <v>85</v>
      </c>
      <c r="BW136">
        <v>7</v>
      </c>
      <c r="BX136">
        <v>8</v>
      </c>
      <c r="BY136">
        <v>13</v>
      </c>
      <c r="BZ136">
        <v>7</v>
      </c>
      <c r="CA136">
        <v>12</v>
      </c>
      <c r="CB136">
        <v>64</v>
      </c>
      <c r="CC136">
        <v>59</v>
      </c>
      <c r="CD136">
        <v>60</v>
      </c>
      <c r="CE136">
        <v>60</v>
      </c>
      <c r="CF136">
        <v>60</v>
      </c>
      <c r="CG136">
        <v>59</v>
      </c>
      <c r="CH136">
        <v>65</v>
      </c>
      <c r="CI136">
        <v>67</v>
      </c>
      <c r="CJ136">
        <v>73</v>
      </c>
      <c r="CK136">
        <v>67</v>
      </c>
      <c r="CL136">
        <v>81</v>
      </c>
      <c r="CM136">
        <v>86</v>
      </c>
      <c r="CN136">
        <v>81</v>
      </c>
      <c r="CO136">
        <v>83</v>
      </c>
      <c r="CP136">
        <v>90</v>
      </c>
      <c r="CQ136">
        <v>83</v>
      </c>
      <c r="CR136">
        <v>21</v>
      </c>
    </row>
    <row r="137" spans="1:96">
      <c r="A137">
        <v>136</v>
      </c>
      <c r="B137" t="s">
        <v>748</v>
      </c>
      <c r="C137" t="s">
        <v>734</v>
      </c>
      <c r="D137" t="s">
        <v>749</v>
      </c>
      <c r="E137" t="s">
        <v>98</v>
      </c>
      <c r="F137">
        <v>87</v>
      </c>
      <c r="G137">
        <v>30</v>
      </c>
      <c r="H137" t="s">
        <v>750</v>
      </c>
      <c r="I137" t="s">
        <v>751</v>
      </c>
      <c r="J137">
        <v>88</v>
      </c>
      <c r="K137">
        <v>88</v>
      </c>
      <c r="L137">
        <v>82500000</v>
      </c>
      <c r="M137" t="s">
        <v>752</v>
      </c>
      <c r="N137" t="s">
        <v>753</v>
      </c>
      <c r="O137" t="s">
        <v>134</v>
      </c>
      <c r="P137" t="s">
        <v>754</v>
      </c>
      <c r="Q137">
        <v>28</v>
      </c>
      <c r="R137">
        <v>182</v>
      </c>
      <c r="S137">
        <v>74</v>
      </c>
      <c r="T137">
        <v>2262</v>
      </c>
      <c r="U137">
        <v>482</v>
      </c>
      <c r="V137" t="s">
        <v>98</v>
      </c>
      <c r="W137">
        <v>250000</v>
      </c>
      <c r="X137">
        <v>152600000</v>
      </c>
      <c r="Y137" t="s">
        <v>753</v>
      </c>
      <c r="Z137">
        <v>2027</v>
      </c>
      <c r="AA137">
        <v>7</v>
      </c>
      <c r="AB137">
        <v>2019</v>
      </c>
      <c r="AC137" t="s">
        <v>103</v>
      </c>
      <c r="AD137" t="s">
        <v>104</v>
      </c>
      <c r="AE137">
        <v>4</v>
      </c>
      <c r="AF137">
        <v>4</v>
      </c>
      <c r="AG137">
        <v>3</v>
      </c>
      <c r="AH137" t="s">
        <v>134</v>
      </c>
      <c r="AI137" t="s">
        <v>138</v>
      </c>
      <c r="AJ137" t="s">
        <v>749</v>
      </c>
      <c r="AK137">
        <v>20</v>
      </c>
      <c r="AL137" t="s">
        <v>107</v>
      </c>
      <c r="AM137" t="s">
        <v>116</v>
      </c>
      <c r="AN137">
        <v>85</v>
      </c>
      <c r="AO137">
        <v>73</v>
      </c>
      <c r="AP137">
        <v>85</v>
      </c>
      <c r="AQ137">
        <v>85</v>
      </c>
      <c r="AR137">
        <v>81</v>
      </c>
      <c r="AS137">
        <v>73</v>
      </c>
      <c r="AT137">
        <v>88</v>
      </c>
      <c r="AU137">
        <v>69</v>
      </c>
      <c r="AV137">
        <v>72</v>
      </c>
      <c r="AW137">
        <v>88</v>
      </c>
      <c r="AX137">
        <v>62</v>
      </c>
      <c r="AY137">
        <v>86</v>
      </c>
      <c r="AZ137">
        <v>87</v>
      </c>
      <c r="BA137">
        <v>69</v>
      </c>
      <c r="BB137">
        <v>79</v>
      </c>
      <c r="BC137">
        <v>87</v>
      </c>
      <c r="BD137">
        <v>86</v>
      </c>
      <c r="BE137">
        <v>84</v>
      </c>
      <c r="BF137">
        <v>79</v>
      </c>
      <c r="BG137">
        <v>85</v>
      </c>
      <c r="BH137">
        <v>78</v>
      </c>
      <c r="BI137">
        <v>80</v>
      </c>
      <c r="BJ137">
        <v>72</v>
      </c>
      <c r="BK137">
        <v>91</v>
      </c>
      <c r="BL137">
        <v>62</v>
      </c>
      <c r="BM137">
        <v>79</v>
      </c>
      <c r="BN137">
        <v>76</v>
      </c>
      <c r="BO137">
        <v>82</v>
      </c>
      <c r="BP137">
        <v>81</v>
      </c>
      <c r="BQ137">
        <v>85</v>
      </c>
      <c r="BR137">
        <v>52</v>
      </c>
      <c r="BS137">
        <v>86</v>
      </c>
      <c r="BT137">
        <v>81</v>
      </c>
      <c r="BU137">
        <v>84</v>
      </c>
      <c r="BV137">
        <v>80</v>
      </c>
      <c r="BW137">
        <v>6</v>
      </c>
      <c r="BX137">
        <v>9</v>
      </c>
      <c r="BY137">
        <v>15</v>
      </c>
      <c r="BZ137">
        <v>14</v>
      </c>
      <c r="CA137">
        <v>14</v>
      </c>
      <c r="CB137">
        <v>81</v>
      </c>
      <c r="CC137">
        <v>84</v>
      </c>
      <c r="CD137">
        <v>83</v>
      </c>
      <c r="CE137">
        <v>83</v>
      </c>
      <c r="CF137">
        <v>83</v>
      </c>
      <c r="CG137">
        <v>84</v>
      </c>
      <c r="CH137">
        <v>87</v>
      </c>
      <c r="CI137">
        <v>88</v>
      </c>
      <c r="CJ137">
        <v>87</v>
      </c>
      <c r="CK137">
        <v>88</v>
      </c>
      <c r="CL137">
        <v>88</v>
      </c>
      <c r="CM137">
        <v>86</v>
      </c>
      <c r="CN137">
        <v>88</v>
      </c>
      <c r="CO137">
        <v>87</v>
      </c>
      <c r="CP137">
        <v>82</v>
      </c>
      <c r="CQ137">
        <v>87</v>
      </c>
      <c r="CR137">
        <v>22</v>
      </c>
    </row>
    <row r="138" spans="1:96">
      <c r="A138">
        <v>137</v>
      </c>
      <c r="B138" t="s">
        <v>755</v>
      </c>
      <c r="C138" t="s">
        <v>734</v>
      </c>
      <c r="D138" t="s">
        <v>419</v>
      </c>
      <c r="E138" t="s">
        <v>118</v>
      </c>
      <c r="F138">
        <v>87</v>
      </c>
      <c r="G138">
        <v>30</v>
      </c>
      <c r="H138" t="s">
        <v>756</v>
      </c>
      <c r="I138" t="s">
        <v>757</v>
      </c>
      <c r="J138">
        <v>87</v>
      </c>
      <c r="K138">
        <v>88</v>
      </c>
      <c r="L138">
        <v>73500000</v>
      </c>
      <c r="M138" t="s">
        <v>419</v>
      </c>
      <c r="N138" t="s">
        <v>419</v>
      </c>
      <c r="O138" t="s">
        <v>127</v>
      </c>
      <c r="P138" t="s">
        <v>758</v>
      </c>
      <c r="Q138">
        <v>29</v>
      </c>
      <c r="R138">
        <v>190</v>
      </c>
      <c r="S138">
        <v>85</v>
      </c>
      <c r="T138">
        <v>2011</v>
      </c>
      <c r="U138">
        <v>444</v>
      </c>
      <c r="V138" t="s">
        <v>123</v>
      </c>
      <c r="W138">
        <v>250000</v>
      </c>
      <c r="X138">
        <v>156200000</v>
      </c>
      <c r="Y138" t="s">
        <v>419</v>
      </c>
      <c r="Z138">
        <v>2026</v>
      </c>
      <c r="AA138">
        <v>22</v>
      </c>
      <c r="AB138">
        <v>2022</v>
      </c>
      <c r="AC138" t="s">
        <v>103</v>
      </c>
      <c r="AD138" t="s">
        <v>104</v>
      </c>
      <c r="AE138">
        <v>3</v>
      </c>
      <c r="AF138">
        <v>2</v>
      </c>
      <c r="AG138">
        <v>2</v>
      </c>
      <c r="AH138" t="s">
        <v>127</v>
      </c>
      <c r="AI138" t="s">
        <v>129</v>
      </c>
      <c r="AJ138" t="s">
        <v>419</v>
      </c>
      <c r="AK138">
        <v>2</v>
      </c>
      <c r="AL138" t="s">
        <v>107</v>
      </c>
      <c r="AM138" t="s">
        <v>107</v>
      </c>
      <c r="AN138">
        <v>82</v>
      </c>
      <c r="AO138">
        <v>53</v>
      </c>
      <c r="AP138">
        <v>71</v>
      </c>
      <c r="AQ138">
        <v>67</v>
      </c>
      <c r="AR138">
        <v>86</v>
      </c>
      <c r="AS138">
        <v>85</v>
      </c>
      <c r="AT138">
        <v>68</v>
      </c>
      <c r="AU138">
        <v>40</v>
      </c>
      <c r="AV138">
        <v>82</v>
      </c>
      <c r="AW138">
        <v>80</v>
      </c>
      <c r="AX138">
        <v>34</v>
      </c>
      <c r="AY138">
        <v>64</v>
      </c>
      <c r="AZ138">
        <v>50</v>
      </c>
      <c r="BA138">
        <v>56</v>
      </c>
      <c r="BB138">
        <v>78</v>
      </c>
      <c r="BC138">
        <v>72</v>
      </c>
      <c r="BD138">
        <v>72</v>
      </c>
      <c r="BE138">
        <v>91</v>
      </c>
      <c r="BF138">
        <v>56</v>
      </c>
      <c r="BG138">
        <v>85</v>
      </c>
      <c r="BH138">
        <v>50</v>
      </c>
      <c r="BI138">
        <v>77</v>
      </c>
      <c r="BJ138">
        <v>84</v>
      </c>
      <c r="BK138">
        <v>71</v>
      </c>
      <c r="BL138">
        <v>90</v>
      </c>
      <c r="BM138">
        <v>67</v>
      </c>
      <c r="BN138">
        <v>92</v>
      </c>
      <c r="BO138">
        <v>84</v>
      </c>
      <c r="BP138">
        <v>49</v>
      </c>
      <c r="BQ138">
        <v>61</v>
      </c>
      <c r="BR138">
        <v>40</v>
      </c>
      <c r="BS138">
        <v>78</v>
      </c>
      <c r="BT138">
        <v>88</v>
      </c>
      <c r="BU138">
        <v>87</v>
      </c>
      <c r="BV138">
        <v>84</v>
      </c>
      <c r="BW138">
        <v>14</v>
      </c>
      <c r="BX138">
        <v>15</v>
      </c>
      <c r="BY138">
        <v>10</v>
      </c>
      <c r="BZ138">
        <v>12</v>
      </c>
      <c r="CA138">
        <v>8</v>
      </c>
      <c r="CB138">
        <v>69</v>
      </c>
      <c r="CC138">
        <v>67</v>
      </c>
      <c r="CD138">
        <v>67</v>
      </c>
      <c r="CE138">
        <v>67</v>
      </c>
      <c r="CF138">
        <v>67</v>
      </c>
      <c r="CG138">
        <v>67</v>
      </c>
      <c r="CH138">
        <v>69</v>
      </c>
      <c r="CI138">
        <v>71</v>
      </c>
      <c r="CJ138">
        <v>74</v>
      </c>
      <c r="CK138">
        <v>71</v>
      </c>
      <c r="CL138">
        <v>81</v>
      </c>
      <c r="CM138">
        <v>83</v>
      </c>
      <c r="CN138">
        <v>81</v>
      </c>
      <c r="CO138">
        <v>83</v>
      </c>
      <c r="CP138">
        <v>88</v>
      </c>
      <c r="CQ138">
        <v>83</v>
      </c>
      <c r="CR138">
        <v>22</v>
      </c>
    </row>
    <row r="139" spans="1:96">
      <c r="A139">
        <v>138</v>
      </c>
      <c r="B139" t="s">
        <v>759</v>
      </c>
      <c r="C139" t="s">
        <v>734</v>
      </c>
      <c r="D139" t="s">
        <v>753</v>
      </c>
      <c r="E139" t="s">
        <v>182</v>
      </c>
      <c r="F139">
        <v>87</v>
      </c>
      <c r="G139">
        <v>30</v>
      </c>
      <c r="H139" t="s">
        <v>760</v>
      </c>
      <c r="I139" t="s">
        <v>761</v>
      </c>
      <c r="J139">
        <v>87</v>
      </c>
      <c r="K139">
        <v>87</v>
      </c>
      <c r="L139">
        <v>72000000</v>
      </c>
      <c r="M139" t="s">
        <v>753</v>
      </c>
      <c r="N139" t="s">
        <v>753</v>
      </c>
      <c r="O139" t="s">
        <v>762</v>
      </c>
      <c r="P139" t="s">
        <v>763</v>
      </c>
      <c r="Q139">
        <v>28</v>
      </c>
      <c r="R139">
        <v>178</v>
      </c>
      <c r="S139">
        <v>64</v>
      </c>
      <c r="T139">
        <v>2154</v>
      </c>
      <c r="U139">
        <v>461</v>
      </c>
      <c r="V139" t="s">
        <v>182</v>
      </c>
      <c r="W139">
        <v>185000</v>
      </c>
      <c r="X139">
        <v>133199999</v>
      </c>
      <c r="Y139" t="s">
        <v>753</v>
      </c>
      <c r="Z139">
        <v>2026</v>
      </c>
      <c r="AA139">
        <v>26</v>
      </c>
      <c r="AB139">
        <v>2017</v>
      </c>
      <c r="AC139" t="s">
        <v>103</v>
      </c>
      <c r="AD139" t="s">
        <v>137</v>
      </c>
      <c r="AE139">
        <v>2</v>
      </c>
      <c r="AF139">
        <v>3</v>
      </c>
      <c r="AG139">
        <v>3</v>
      </c>
      <c r="AH139" t="s">
        <v>762</v>
      </c>
      <c r="AI139" t="s">
        <v>764</v>
      </c>
      <c r="AJ139" t="s">
        <v>765</v>
      </c>
      <c r="AK139">
        <v>3</v>
      </c>
      <c r="AL139" t="s">
        <v>107</v>
      </c>
      <c r="AM139" t="s">
        <v>107</v>
      </c>
      <c r="AN139">
        <v>80</v>
      </c>
      <c r="AO139">
        <v>61</v>
      </c>
      <c r="AP139">
        <v>81</v>
      </c>
      <c r="AQ139">
        <v>81</v>
      </c>
      <c r="AR139">
        <v>82</v>
      </c>
      <c r="AS139">
        <v>76</v>
      </c>
      <c r="AT139">
        <v>88</v>
      </c>
      <c r="AU139">
        <v>55</v>
      </c>
      <c r="AV139">
        <v>67</v>
      </c>
      <c r="AW139">
        <v>82</v>
      </c>
      <c r="AX139">
        <v>32</v>
      </c>
      <c r="AY139">
        <v>81</v>
      </c>
      <c r="AZ139">
        <v>82</v>
      </c>
      <c r="BA139">
        <v>71</v>
      </c>
      <c r="BB139">
        <v>76</v>
      </c>
      <c r="BC139">
        <v>83</v>
      </c>
      <c r="BD139">
        <v>79</v>
      </c>
      <c r="BE139">
        <v>81</v>
      </c>
      <c r="BF139">
        <v>75</v>
      </c>
      <c r="BG139">
        <v>85</v>
      </c>
      <c r="BH139">
        <v>74</v>
      </c>
      <c r="BI139">
        <v>76</v>
      </c>
      <c r="BJ139">
        <v>62</v>
      </c>
      <c r="BK139">
        <v>95</v>
      </c>
      <c r="BL139">
        <v>65</v>
      </c>
      <c r="BM139">
        <v>65</v>
      </c>
      <c r="BN139">
        <v>85</v>
      </c>
      <c r="BO139">
        <v>84</v>
      </c>
      <c r="BP139">
        <v>77</v>
      </c>
      <c r="BQ139">
        <v>80</v>
      </c>
      <c r="BR139">
        <v>55</v>
      </c>
      <c r="BS139">
        <v>83</v>
      </c>
      <c r="BT139">
        <v>83</v>
      </c>
      <c r="BU139">
        <v>84</v>
      </c>
      <c r="BV139">
        <v>82</v>
      </c>
      <c r="BW139">
        <v>11</v>
      </c>
      <c r="BX139">
        <v>8</v>
      </c>
      <c r="BY139">
        <v>10</v>
      </c>
      <c r="BZ139">
        <v>7</v>
      </c>
      <c r="CA139">
        <v>14</v>
      </c>
      <c r="CB139">
        <v>75</v>
      </c>
      <c r="CC139">
        <v>78</v>
      </c>
      <c r="CD139">
        <v>77</v>
      </c>
      <c r="CE139">
        <v>77</v>
      </c>
      <c r="CF139">
        <v>77</v>
      </c>
      <c r="CG139">
        <v>78</v>
      </c>
      <c r="CH139">
        <v>81</v>
      </c>
      <c r="CI139">
        <v>84</v>
      </c>
      <c r="CJ139">
        <v>84</v>
      </c>
      <c r="CK139">
        <v>84</v>
      </c>
      <c r="CL139">
        <v>87</v>
      </c>
      <c r="CM139">
        <v>85</v>
      </c>
      <c r="CN139">
        <v>87</v>
      </c>
      <c r="CO139">
        <v>87</v>
      </c>
      <c r="CP139">
        <v>82</v>
      </c>
      <c r="CQ139">
        <v>87</v>
      </c>
      <c r="CR139">
        <v>21</v>
      </c>
    </row>
    <row r="140" spans="1:96">
      <c r="A140">
        <v>139</v>
      </c>
      <c r="B140" t="s">
        <v>766</v>
      </c>
      <c r="C140" t="s">
        <v>734</v>
      </c>
      <c r="D140" t="s">
        <v>749</v>
      </c>
      <c r="E140" t="s">
        <v>182</v>
      </c>
      <c r="F140">
        <v>87</v>
      </c>
      <c r="G140">
        <v>30</v>
      </c>
      <c r="H140" t="s">
        <v>767</v>
      </c>
      <c r="I140" t="s">
        <v>766</v>
      </c>
      <c r="J140">
        <v>87</v>
      </c>
      <c r="K140">
        <v>90</v>
      </c>
      <c r="L140">
        <v>100500000</v>
      </c>
      <c r="M140" t="s">
        <v>749</v>
      </c>
      <c r="N140" t="s">
        <v>97</v>
      </c>
      <c r="O140" t="s">
        <v>167</v>
      </c>
      <c r="P140" t="s">
        <v>768</v>
      </c>
      <c r="Q140">
        <v>23</v>
      </c>
      <c r="R140">
        <v>180</v>
      </c>
      <c r="S140">
        <v>69</v>
      </c>
      <c r="T140">
        <v>2234</v>
      </c>
      <c r="U140">
        <v>467</v>
      </c>
      <c r="V140" t="s">
        <v>182</v>
      </c>
      <c r="W140">
        <v>150000</v>
      </c>
      <c r="X140">
        <v>193500000</v>
      </c>
      <c r="Y140" t="s">
        <v>749</v>
      </c>
      <c r="Z140">
        <v>2025</v>
      </c>
      <c r="AA140">
        <v>66</v>
      </c>
      <c r="AB140">
        <v>2015</v>
      </c>
      <c r="AC140" t="s">
        <v>103</v>
      </c>
      <c r="AD140" t="s">
        <v>104</v>
      </c>
      <c r="AE140">
        <v>4</v>
      </c>
      <c r="AF140">
        <v>3</v>
      </c>
      <c r="AG140">
        <v>3</v>
      </c>
      <c r="AH140" t="s">
        <v>103</v>
      </c>
      <c r="AI140" t="s">
        <v>170</v>
      </c>
      <c r="AJ140" t="s">
        <v>103</v>
      </c>
      <c r="AK140" t="s">
        <v>103</v>
      </c>
      <c r="AL140" t="s">
        <v>107</v>
      </c>
      <c r="AM140" t="s">
        <v>116</v>
      </c>
      <c r="AN140">
        <v>76</v>
      </c>
      <c r="AO140">
        <v>69</v>
      </c>
      <c r="AP140">
        <v>89</v>
      </c>
      <c r="AQ140">
        <v>80</v>
      </c>
      <c r="AR140">
        <v>80</v>
      </c>
      <c r="AS140">
        <v>73</v>
      </c>
      <c r="AT140">
        <v>92</v>
      </c>
      <c r="AU140">
        <v>62</v>
      </c>
      <c r="AV140">
        <v>69</v>
      </c>
      <c r="AW140">
        <v>87</v>
      </c>
      <c r="AX140">
        <v>63</v>
      </c>
      <c r="AY140">
        <v>78</v>
      </c>
      <c r="AZ140">
        <v>87</v>
      </c>
      <c r="BA140">
        <v>85</v>
      </c>
      <c r="BB140">
        <v>91</v>
      </c>
      <c r="BC140">
        <v>86</v>
      </c>
      <c r="BD140">
        <v>76</v>
      </c>
      <c r="BE140">
        <v>76</v>
      </c>
      <c r="BF140">
        <v>73</v>
      </c>
      <c r="BG140">
        <v>83</v>
      </c>
      <c r="BH140">
        <v>73</v>
      </c>
      <c r="BI140">
        <v>82</v>
      </c>
      <c r="BJ140">
        <v>66</v>
      </c>
      <c r="BK140">
        <v>89</v>
      </c>
      <c r="BL140">
        <v>66</v>
      </c>
      <c r="BM140">
        <v>75</v>
      </c>
      <c r="BN140">
        <v>71</v>
      </c>
      <c r="BO140">
        <v>83</v>
      </c>
      <c r="BP140">
        <v>78</v>
      </c>
      <c r="BQ140">
        <v>90</v>
      </c>
      <c r="BR140">
        <v>55</v>
      </c>
      <c r="BS140">
        <v>82</v>
      </c>
      <c r="BT140">
        <v>79</v>
      </c>
      <c r="BU140">
        <v>83</v>
      </c>
      <c r="BV140">
        <v>80</v>
      </c>
      <c r="BW140">
        <v>14</v>
      </c>
      <c r="BX140">
        <v>15</v>
      </c>
      <c r="BY140">
        <v>14</v>
      </c>
      <c r="BZ140">
        <v>6</v>
      </c>
      <c r="CA140">
        <v>7</v>
      </c>
      <c r="CB140">
        <v>78</v>
      </c>
      <c r="CC140">
        <v>80</v>
      </c>
      <c r="CD140">
        <v>79</v>
      </c>
      <c r="CE140">
        <v>79</v>
      </c>
      <c r="CF140">
        <v>79</v>
      </c>
      <c r="CG140">
        <v>80</v>
      </c>
      <c r="CH140">
        <v>85</v>
      </c>
      <c r="CI140">
        <v>86</v>
      </c>
      <c r="CJ140">
        <v>88</v>
      </c>
      <c r="CK140">
        <v>86</v>
      </c>
      <c r="CL140">
        <v>87</v>
      </c>
      <c r="CM140">
        <v>87</v>
      </c>
      <c r="CN140">
        <v>87</v>
      </c>
      <c r="CO140">
        <v>86</v>
      </c>
      <c r="CP140">
        <v>81</v>
      </c>
      <c r="CQ140">
        <v>86</v>
      </c>
      <c r="CR140">
        <v>22</v>
      </c>
    </row>
    <row r="141" spans="1:96">
      <c r="A141">
        <v>140</v>
      </c>
      <c r="B141" t="s">
        <v>769</v>
      </c>
      <c r="C141" t="s">
        <v>734</v>
      </c>
      <c r="D141" t="s">
        <v>419</v>
      </c>
      <c r="E141" t="s">
        <v>220</v>
      </c>
      <c r="F141">
        <v>86</v>
      </c>
      <c r="G141">
        <v>30</v>
      </c>
      <c r="H141" t="s">
        <v>769</v>
      </c>
      <c r="I141" t="s">
        <v>770</v>
      </c>
      <c r="J141">
        <v>86</v>
      </c>
      <c r="K141">
        <v>86</v>
      </c>
      <c r="L141">
        <v>12000000</v>
      </c>
      <c r="M141" t="s">
        <v>419</v>
      </c>
      <c r="N141" t="s">
        <v>419</v>
      </c>
      <c r="O141" t="s">
        <v>112</v>
      </c>
      <c r="P141" t="s">
        <v>771</v>
      </c>
      <c r="Q141">
        <v>37</v>
      </c>
      <c r="R141">
        <v>183</v>
      </c>
      <c r="S141">
        <v>79</v>
      </c>
      <c r="T141">
        <v>2012</v>
      </c>
      <c r="U141">
        <v>411</v>
      </c>
      <c r="V141" t="s">
        <v>220</v>
      </c>
      <c r="W141">
        <v>115000</v>
      </c>
      <c r="X141">
        <v>22200000</v>
      </c>
      <c r="Y141" t="s">
        <v>419</v>
      </c>
      <c r="Z141">
        <v>2023</v>
      </c>
      <c r="AA141">
        <v>6</v>
      </c>
      <c r="AB141">
        <v>2020</v>
      </c>
      <c r="AC141" t="s">
        <v>103</v>
      </c>
      <c r="AD141" t="s">
        <v>104</v>
      </c>
      <c r="AE141">
        <v>3</v>
      </c>
      <c r="AF141">
        <v>2</v>
      </c>
      <c r="AG141">
        <v>4</v>
      </c>
      <c r="AH141" t="s">
        <v>103</v>
      </c>
      <c r="AI141" t="s">
        <v>115</v>
      </c>
      <c r="AJ141" t="s">
        <v>103</v>
      </c>
      <c r="AK141" t="s">
        <v>103</v>
      </c>
      <c r="AL141" t="s">
        <v>116</v>
      </c>
      <c r="AM141" t="s">
        <v>107</v>
      </c>
      <c r="AN141">
        <v>49</v>
      </c>
      <c r="AO141">
        <v>54</v>
      </c>
      <c r="AP141">
        <v>73</v>
      </c>
      <c r="AQ141">
        <v>72</v>
      </c>
      <c r="AR141">
        <v>87</v>
      </c>
      <c r="AS141">
        <v>76</v>
      </c>
      <c r="AT141">
        <v>60</v>
      </c>
      <c r="AU141">
        <v>40</v>
      </c>
      <c r="AV141">
        <v>82</v>
      </c>
      <c r="AW141">
        <v>81</v>
      </c>
      <c r="AX141">
        <v>61</v>
      </c>
      <c r="AY141">
        <v>67</v>
      </c>
      <c r="AZ141">
        <v>62</v>
      </c>
      <c r="BA141">
        <v>61</v>
      </c>
      <c r="BB141">
        <v>82</v>
      </c>
      <c r="BC141">
        <v>79</v>
      </c>
      <c r="BD141">
        <v>45</v>
      </c>
      <c r="BE141">
        <v>52</v>
      </c>
      <c r="BF141">
        <v>62</v>
      </c>
      <c r="BG141">
        <v>83</v>
      </c>
      <c r="BH141">
        <v>66</v>
      </c>
      <c r="BI141">
        <v>71</v>
      </c>
      <c r="BJ141">
        <v>88</v>
      </c>
      <c r="BK141">
        <v>66</v>
      </c>
      <c r="BL141">
        <v>80</v>
      </c>
      <c r="BM141">
        <v>65</v>
      </c>
      <c r="BN141">
        <v>76</v>
      </c>
      <c r="BO141">
        <v>89</v>
      </c>
      <c r="BP141">
        <v>59</v>
      </c>
      <c r="BQ141">
        <v>71</v>
      </c>
      <c r="BR141">
        <v>60</v>
      </c>
      <c r="BS141">
        <v>86</v>
      </c>
      <c r="BT141">
        <v>89</v>
      </c>
      <c r="BU141">
        <v>86</v>
      </c>
      <c r="BV141">
        <v>84</v>
      </c>
      <c r="BW141">
        <v>9</v>
      </c>
      <c r="BX141">
        <v>12</v>
      </c>
      <c r="BY141">
        <v>5</v>
      </c>
      <c r="BZ141">
        <v>9</v>
      </c>
      <c r="CA141">
        <v>10</v>
      </c>
      <c r="CB141">
        <v>68</v>
      </c>
      <c r="CC141">
        <v>65</v>
      </c>
      <c r="CD141">
        <v>66</v>
      </c>
      <c r="CE141">
        <v>66</v>
      </c>
      <c r="CF141">
        <v>66</v>
      </c>
      <c r="CG141">
        <v>65</v>
      </c>
      <c r="CH141">
        <v>72</v>
      </c>
      <c r="CI141">
        <v>70</v>
      </c>
      <c r="CJ141">
        <v>79</v>
      </c>
      <c r="CK141">
        <v>70</v>
      </c>
      <c r="CL141">
        <v>78</v>
      </c>
      <c r="CM141">
        <v>85</v>
      </c>
      <c r="CN141">
        <v>78</v>
      </c>
      <c r="CO141">
        <v>80</v>
      </c>
      <c r="CP141">
        <v>86</v>
      </c>
      <c r="CQ141">
        <v>80</v>
      </c>
      <c r="CR141">
        <v>21</v>
      </c>
    </row>
    <row r="142" spans="1:96">
      <c r="A142">
        <v>141</v>
      </c>
      <c r="B142" t="s">
        <v>772</v>
      </c>
      <c r="C142" t="s">
        <v>734</v>
      </c>
      <c r="D142" t="s">
        <v>419</v>
      </c>
      <c r="E142" t="s">
        <v>153</v>
      </c>
      <c r="F142">
        <v>86</v>
      </c>
      <c r="G142">
        <v>30</v>
      </c>
      <c r="H142" t="s">
        <v>773</v>
      </c>
      <c r="I142" t="s">
        <v>772</v>
      </c>
      <c r="J142">
        <v>86</v>
      </c>
      <c r="K142">
        <v>87</v>
      </c>
      <c r="L142">
        <v>68500000</v>
      </c>
      <c r="M142" t="s">
        <v>419</v>
      </c>
      <c r="N142" t="s">
        <v>419</v>
      </c>
      <c r="O142" t="s">
        <v>774</v>
      </c>
      <c r="P142" t="s">
        <v>775</v>
      </c>
      <c r="Q142">
        <v>27</v>
      </c>
      <c r="R142">
        <v>188</v>
      </c>
      <c r="S142">
        <v>80</v>
      </c>
      <c r="T142">
        <v>1861</v>
      </c>
      <c r="U142">
        <v>419</v>
      </c>
      <c r="V142" t="s">
        <v>187</v>
      </c>
      <c r="W142">
        <v>105000</v>
      </c>
      <c r="X142">
        <v>118200000</v>
      </c>
      <c r="Y142" t="s">
        <v>419</v>
      </c>
      <c r="Z142">
        <v>2023</v>
      </c>
      <c r="AA142">
        <v>37</v>
      </c>
      <c r="AB142">
        <v>2017</v>
      </c>
      <c r="AC142" t="s">
        <v>103</v>
      </c>
      <c r="AD142" t="s">
        <v>104</v>
      </c>
      <c r="AE142">
        <v>3</v>
      </c>
      <c r="AF142">
        <v>2</v>
      </c>
      <c r="AG142">
        <v>3</v>
      </c>
      <c r="AH142" t="s">
        <v>103</v>
      </c>
      <c r="AI142" t="s">
        <v>103</v>
      </c>
      <c r="AJ142" t="s">
        <v>103</v>
      </c>
      <c r="AK142" t="s">
        <v>103</v>
      </c>
      <c r="AL142" t="s">
        <v>406</v>
      </c>
      <c r="AM142" t="s">
        <v>107</v>
      </c>
      <c r="AN142">
        <v>78</v>
      </c>
      <c r="AO142">
        <v>41</v>
      </c>
      <c r="AP142">
        <v>57</v>
      </c>
      <c r="AQ142">
        <v>69</v>
      </c>
      <c r="AR142">
        <v>88</v>
      </c>
      <c r="AS142">
        <v>86</v>
      </c>
      <c r="AT142">
        <v>40</v>
      </c>
      <c r="AU142">
        <v>42</v>
      </c>
      <c r="AV142">
        <v>81</v>
      </c>
      <c r="AW142">
        <v>72</v>
      </c>
      <c r="AX142">
        <v>40</v>
      </c>
      <c r="AY142">
        <v>67</v>
      </c>
      <c r="AZ142">
        <v>34</v>
      </c>
      <c r="BA142">
        <v>30</v>
      </c>
      <c r="BB142">
        <v>73</v>
      </c>
      <c r="BC142">
        <v>72</v>
      </c>
      <c r="BD142">
        <v>75</v>
      </c>
      <c r="BE142">
        <v>81</v>
      </c>
      <c r="BF142">
        <v>54</v>
      </c>
      <c r="BG142">
        <v>86</v>
      </c>
      <c r="BH142">
        <v>56</v>
      </c>
      <c r="BI142">
        <v>50</v>
      </c>
      <c r="BJ142">
        <v>85</v>
      </c>
      <c r="BK142">
        <v>81</v>
      </c>
      <c r="BL142">
        <v>89</v>
      </c>
      <c r="BM142">
        <v>30</v>
      </c>
      <c r="BN142">
        <v>87</v>
      </c>
      <c r="BO142">
        <v>86</v>
      </c>
      <c r="BP142">
        <v>30</v>
      </c>
      <c r="BQ142">
        <v>46</v>
      </c>
      <c r="BR142">
        <v>56</v>
      </c>
      <c r="BS142">
        <v>87</v>
      </c>
      <c r="BT142">
        <v>91</v>
      </c>
      <c r="BU142">
        <v>90</v>
      </c>
      <c r="BV142">
        <v>82</v>
      </c>
      <c r="BW142">
        <v>10</v>
      </c>
      <c r="BX142">
        <v>13</v>
      </c>
      <c r="BY142">
        <v>12</v>
      </c>
      <c r="BZ142">
        <v>8</v>
      </c>
      <c r="CA142">
        <v>12</v>
      </c>
      <c r="CB142">
        <v>63</v>
      </c>
      <c r="CC142">
        <v>59</v>
      </c>
      <c r="CD142">
        <v>60</v>
      </c>
      <c r="CE142">
        <v>60</v>
      </c>
      <c r="CF142">
        <v>60</v>
      </c>
      <c r="CG142">
        <v>59</v>
      </c>
      <c r="CH142">
        <v>64</v>
      </c>
      <c r="CI142">
        <v>66</v>
      </c>
      <c r="CJ142">
        <v>70</v>
      </c>
      <c r="CK142">
        <v>66</v>
      </c>
      <c r="CL142">
        <v>79</v>
      </c>
      <c r="CM142">
        <v>83</v>
      </c>
      <c r="CN142">
        <v>79</v>
      </c>
      <c r="CO142">
        <v>82</v>
      </c>
      <c r="CP142">
        <v>87</v>
      </c>
      <c r="CQ142">
        <v>82</v>
      </c>
      <c r="CR142">
        <v>22</v>
      </c>
    </row>
    <row r="143" spans="1:96">
      <c r="A143">
        <v>142</v>
      </c>
      <c r="B143" t="s">
        <v>776</v>
      </c>
      <c r="C143" t="s">
        <v>734</v>
      </c>
      <c r="D143" t="s">
        <v>419</v>
      </c>
      <c r="E143" t="s">
        <v>118</v>
      </c>
      <c r="F143">
        <v>86</v>
      </c>
      <c r="G143">
        <v>30</v>
      </c>
      <c r="H143" t="s">
        <v>777</v>
      </c>
      <c r="I143" t="s">
        <v>776</v>
      </c>
      <c r="J143">
        <v>86</v>
      </c>
      <c r="K143">
        <v>86</v>
      </c>
      <c r="L143">
        <v>55500000</v>
      </c>
      <c r="M143" t="s">
        <v>419</v>
      </c>
      <c r="N143" t="s">
        <v>419</v>
      </c>
      <c r="O143" t="s">
        <v>366</v>
      </c>
      <c r="P143" t="s">
        <v>778</v>
      </c>
      <c r="Q143">
        <v>30</v>
      </c>
      <c r="R143">
        <v>180</v>
      </c>
      <c r="S143">
        <v>78</v>
      </c>
      <c r="T143">
        <v>2277</v>
      </c>
      <c r="U143">
        <v>475</v>
      </c>
      <c r="V143" t="s">
        <v>123</v>
      </c>
      <c r="W143">
        <v>220000</v>
      </c>
      <c r="X143">
        <v>113800000</v>
      </c>
      <c r="Y143" t="s">
        <v>419</v>
      </c>
      <c r="Z143">
        <v>2026</v>
      </c>
      <c r="AA143">
        <v>4</v>
      </c>
      <c r="AB143">
        <v>2021</v>
      </c>
      <c r="AC143" t="s">
        <v>103</v>
      </c>
      <c r="AD143" t="s">
        <v>137</v>
      </c>
      <c r="AE143">
        <v>4</v>
      </c>
      <c r="AF143">
        <v>3</v>
      </c>
      <c r="AG143">
        <v>4</v>
      </c>
      <c r="AH143" t="s">
        <v>366</v>
      </c>
      <c r="AI143" t="s">
        <v>368</v>
      </c>
      <c r="AJ143" t="s">
        <v>753</v>
      </c>
      <c r="AK143">
        <v>8</v>
      </c>
      <c r="AL143" t="s">
        <v>116</v>
      </c>
      <c r="AM143" t="s">
        <v>116</v>
      </c>
      <c r="AN143">
        <v>79</v>
      </c>
      <c r="AO143">
        <v>71</v>
      </c>
      <c r="AP143">
        <v>83</v>
      </c>
      <c r="AQ143">
        <v>80</v>
      </c>
      <c r="AR143">
        <v>85</v>
      </c>
      <c r="AS143">
        <v>77</v>
      </c>
      <c r="AT143">
        <v>83</v>
      </c>
      <c r="AU143">
        <v>63</v>
      </c>
      <c r="AV143">
        <v>77</v>
      </c>
      <c r="AW143">
        <v>89</v>
      </c>
      <c r="AX143">
        <v>67</v>
      </c>
      <c r="AY143">
        <v>77</v>
      </c>
      <c r="AZ143">
        <v>77</v>
      </c>
      <c r="BA143">
        <v>85</v>
      </c>
      <c r="BB143">
        <v>80</v>
      </c>
      <c r="BC143">
        <v>85</v>
      </c>
      <c r="BD143">
        <v>79</v>
      </c>
      <c r="BE143">
        <v>79</v>
      </c>
      <c r="BF143">
        <v>76</v>
      </c>
      <c r="BG143">
        <v>88</v>
      </c>
      <c r="BH143">
        <v>78</v>
      </c>
      <c r="BI143">
        <v>82</v>
      </c>
      <c r="BJ143">
        <v>81</v>
      </c>
      <c r="BK143">
        <v>74</v>
      </c>
      <c r="BL143">
        <v>78</v>
      </c>
      <c r="BM143">
        <v>78</v>
      </c>
      <c r="BN143">
        <v>78</v>
      </c>
      <c r="BO143">
        <v>87</v>
      </c>
      <c r="BP143">
        <v>73</v>
      </c>
      <c r="BQ143">
        <v>78</v>
      </c>
      <c r="BR143">
        <v>79</v>
      </c>
      <c r="BS143">
        <v>85</v>
      </c>
      <c r="BT143">
        <v>89</v>
      </c>
      <c r="BU143">
        <v>84</v>
      </c>
      <c r="BV143">
        <v>83</v>
      </c>
      <c r="BW143">
        <v>5</v>
      </c>
      <c r="BX143">
        <v>7</v>
      </c>
      <c r="BY143">
        <v>14</v>
      </c>
      <c r="BZ143">
        <v>15</v>
      </c>
      <c r="CA143">
        <v>9</v>
      </c>
      <c r="CB143">
        <v>80</v>
      </c>
      <c r="CC143">
        <v>79</v>
      </c>
      <c r="CD143">
        <v>79</v>
      </c>
      <c r="CE143">
        <v>79</v>
      </c>
      <c r="CF143">
        <v>79</v>
      </c>
      <c r="CG143">
        <v>79</v>
      </c>
      <c r="CH143">
        <v>83</v>
      </c>
      <c r="CI143">
        <v>83</v>
      </c>
      <c r="CJ143">
        <v>85</v>
      </c>
      <c r="CK143">
        <v>83</v>
      </c>
      <c r="CL143">
        <v>86</v>
      </c>
      <c r="CM143">
        <v>86</v>
      </c>
      <c r="CN143">
        <v>86</v>
      </c>
      <c r="CO143">
        <v>86</v>
      </c>
      <c r="CP143">
        <v>86</v>
      </c>
      <c r="CQ143">
        <v>86</v>
      </c>
      <c r="CR143">
        <v>21</v>
      </c>
    </row>
    <row r="144" spans="1:96">
      <c r="A144">
        <v>143</v>
      </c>
      <c r="B144" t="s">
        <v>779</v>
      </c>
      <c r="C144" t="s">
        <v>734</v>
      </c>
      <c r="D144" t="s">
        <v>419</v>
      </c>
      <c r="E144" t="s">
        <v>98</v>
      </c>
      <c r="F144">
        <v>86</v>
      </c>
      <c r="G144">
        <v>30</v>
      </c>
      <c r="H144" t="s">
        <v>780</v>
      </c>
      <c r="I144" t="s">
        <v>781</v>
      </c>
      <c r="J144">
        <v>73</v>
      </c>
      <c r="K144">
        <v>74</v>
      </c>
      <c r="L144">
        <v>2900000</v>
      </c>
      <c r="M144" t="s">
        <v>419</v>
      </c>
      <c r="N144" t="s">
        <v>419</v>
      </c>
      <c r="O144" t="s">
        <v>319</v>
      </c>
      <c r="P144" t="s">
        <v>782</v>
      </c>
      <c r="Q144">
        <v>28</v>
      </c>
      <c r="R144">
        <v>185</v>
      </c>
      <c r="S144">
        <v>82</v>
      </c>
      <c r="T144">
        <v>1520</v>
      </c>
      <c r="U144">
        <v>321</v>
      </c>
      <c r="V144" t="s">
        <v>783</v>
      </c>
      <c r="W144">
        <v>15000</v>
      </c>
      <c r="X144">
        <v>6000000</v>
      </c>
      <c r="Y144" t="s">
        <v>419</v>
      </c>
      <c r="Z144">
        <v>2023</v>
      </c>
      <c r="AA144">
        <v>15</v>
      </c>
      <c r="AB144">
        <v>2019</v>
      </c>
      <c r="AC144" t="s">
        <v>103</v>
      </c>
      <c r="AD144" t="s">
        <v>104</v>
      </c>
      <c r="AE144">
        <v>3</v>
      </c>
      <c r="AF144">
        <v>2</v>
      </c>
      <c r="AG144">
        <v>1</v>
      </c>
      <c r="AH144" t="s">
        <v>103</v>
      </c>
      <c r="AI144" t="s">
        <v>321</v>
      </c>
      <c r="AJ144" t="s">
        <v>103</v>
      </c>
      <c r="AK144" t="s">
        <v>103</v>
      </c>
      <c r="AL144" t="s">
        <v>116</v>
      </c>
      <c r="AM144" t="s">
        <v>116</v>
      </c>
      <c r="AN144">
        <v>44</v>
      </c>
      <c r="AO144">
        <v>29</v>
      </c>
      <c r="AP144">
        <v>45</v>
      </c>
      <c r="AQ144">
        <v>49</v>
      </c>
      <c r="AR144">
        <v>73</v>
      </c>
      <c r="AS144">
        <v>81</v>
      </c>
      <c r="AT144">
        <v>27</v>
      </c>
      <c r="AU144">
        <v>22</v>
      </c>
      <c r="AV144">
        <v>74</v>
      </c>
      <c r="AW144">
        <v>65</v>
      </c>
      <c r="AX144">
        <v>33</v>
      </c>
      <c r="AY144">
        <v>40</v>
      </c>
      <c r="AZ144">
        <v>28</v>
      </c>
      <c r="BA144">
        <v>25</v>
      </c>
      <c r="BB144">
        <v>55</v>
      </c>
      <c r="BC144">
        <v>61</v>
      </c>
      <c r="BD144">
        <v>45</v>
      </c>
      <c r="BE144">
        <v>43</v>
      </c>
      <c r="BF144">
        <v>41</v>
      </c>
      <c r="BG144">
        <v>66</v>
      </c>
      <c r="BH144">
        <v>53</v>
      </c>
      <c r="BI144">
        <v>41</v>
      </c>
      <c r="BJ144">
        <v>86</v>
      </c>
      <c r="BK144">
        <v>80</v>
      </c>
      <c r="BL144">
        <v>85</v>
      </c>
      <c r="BM144">
        <v>27</v>
      </c>
      <c r="BN144">
        <v>72</v>
      </c>
      <c r="BO144">
        <v>71</v>
      </c>
      <c r="BP144">
        <v>29</v>
      </c>
      <c r="BQ144">
        <v>29</v>
      </c>
      <c r="BR144">
        <v>39</v>
      </c>
      <c r="BS144">
        <v>55</v>
      </c>
      <c r="BT144">
        <v>75</v>
      </c>
      <c r="BU144">
        <v>73</v>
      </c>
      <c r="BV144">
        <v>71</v>
      </c>
      <c r="BW144">
        <v>14</v>
      </c>
      <c r="BX144">
        <v>6</v>
      </c>
      <c r="BY144">
        <v>15</v>
      </c>
      <c r="BZ144">
        <v>15</v>
      </c>
      <c r="CA144">
        <v>14</v>
      </c>
      <c r="CB144">
        <v>48</v>
      </c>
      <c r="CC144">
        <v>42</v>
      </c>
      <c r="CD144">
        <v>44</v>
      </c>
      <c r="CE144">
        <v>44</v>
      </c>
      <c r="CF144">
        <v>44</v>
      </c>
      <c r="CG144">
        <v>42</v>
      </c>
      <c r="CH144">
        <v>47</v>
      </c>
      <c r="CI144">
        <v>49</v>
      </c>
      <c r="CJ144">
        <v>56</v>
      </c>
      <c r="CK144">
        <v>49</v>
      </c>
      <c r="CL144">
        <v>63</v>
      </c>
      <c r="CM144">
        <v>69</v>
      </c>
      <c r="CN144">
        <v>63</v>
      </c>
      <c r="CO144">
        <v>66</v>
      </c>
      <c r="CP144">
        <v>74</v>
      </c>
      <c r="CQ144">
        <v>66</v>
      </c>
      <c r="CR144">
        <v>20</v>
      </c>
    </row>
    <row r="145" spans="1:96">
      <c r="A145">
        <v>144</v>
      </c>
      <c r="B145" t="s">
        <v>784</v>
      </c>
      <c r="C145" t="s">
        <v>734</v>
      </c>
      <c r="D145" t="s">
        <v>419</v>
      </c>
      <c r="E145" t="s">
        <v>212</v>
      </c>
      <c r="F145">
        <v>85</v>
      </c>
      <c r="G145">
        <v>30</v>
      </c>
      <c r="H145" t="s">
        <v>785</v>
      </c>
      <c r="I145" t="s">
        <v>784</v>
      </c>
      <c r="J145">
        <v>85</v>
      </c>
      <c r="K145">
        <v>87</v>
      </c>
      <c r="L145">
        <v>59000000</v>
      </c>
      <c r="M145" t="s">
        <v>786</v>
      </c>
      <c r="N145" t="s">
        <v>419</v>
      </c>
      <c r="O145" t="s">
        <v>127</v>
      </c>
      <c r="P145" t="s">
        <v>787</v>
      </c>
      <c r="Q145">
        <v>26</v>
      </c>
      <c r="R145">
        <v>195</v>
      </c>
      <c r="S145">
        <v>99</v>
      </c>
      <c r="T145">
        <v>1839</v>
      </c>
      <c r="U145">
        <v>412</v>
      </c>
      <c r="V145" t="s">
        <v>169</v>
      </c>
      <c r="W145">
        <v>72000</v>
      </c>
      <c r="X145">
        <v>104700000</v>
      </c>
      <c r="Y145" t="s">
        <v>114</v>
      </c>
      <c r="Z145">
        <v>2026</v>
      </c>
      <c r="AA145">
        <v>25</v>
      </c>
      <c r="AB145">
        <v>2022</v>
      </c>
      <c r="AC145" t="s">
        <v>103</v>
      </c>
      <c r="AD145" t="s">
        <v>104</v>
      </c>
      <c r="AE145">
        <v>3</v>
      </c>
      <c r="AF145">
        <v>3</v>
      </c>
      <c r="AG145">
        <v>3</v>
      </c>
      <c r="AH145" t="s">
        <v>127</v>
      </c>
      <c r="AI145" t="s">
        <v>129</v>
      </c>
      <c r="AJ145" t="s">
        <v>419</v>
      </c>
      <c r="AK145">
        <v>15</v>
      </c>
      <c r="AL145" t="s">
        <v>116</v>
      </c>
      <c r="AM145" t="s">
        <v>116</v>
      </c>
      <c r="AN145">
        <v>71</v>
      </c>
      <c r="AO145">
        <v>48</v>
      </c>
      <c r="AP145">
        <v>66</v>
      </c>
      <c r="AQ145">
        <v>59</v>
      </c>
      <c r="AR145">
        <v>85</v>
      </c>
      <c r="AS145">
        <v>83</v>
      </c>
      <c r="AT145">
        <v>48</v>
      </c>
      <c r="AU145">
        <v>30</v>
      </c>
      <c r="AV145">
        <v>84</v>
      </c>
      <c r="AW145">
        <v>79</v>
      </c>
      <c r="AX145">
        <v>46</v>
      </c>
      <c r="AY145">
        <v>57</v>
      </c>
      <c r="AZ145">
        <v>33</v>
      </c>
      <c r="BA145">
        <v>38</v>
      </c>
      <c r="BB145">
        <v>77</v>
      </c>
      <c r="BC145">
        <v>64</v>
      </c>
      <c r="BD145">
        <v>60</v>
      </c>
      <c r="BE145">
        <v>80</v>
      </c>
      <c r="BF145">
        <v>34</v>
      </c>
      <c r="BG145">
        <v>82</v>
      </c>
      <c r="BH145">
        <v>44</v>
      </c>
      <c r="BI145">
        <v>78</v>
      </c>
      <c r="BJ145">
        <v>60</v>
      </c>
      <c r="BK145">
        <v>65</v>
      </c>
      <c r="BL145">
        <v>94</v>
      </c>
      <c r="BM145">
        <v>62</v>
      </c>
      <c r="BN145">
        <v>86</v>
      </c>
      <c r="BO145">
        <v>81</v>
      </c>
      <c r="BP145">
        <v>42</v>
      </c>
      <c r="BQ145">
        <v>66</v>
      </c>
      <c r="BR145">
        <v>32</v>
      </c>
      <c r="BS145">
        <v>82</v>
      </c>
      <c r="BT145">
        <v>83</v>
      </c>
      <c r="BU145">
        <v>89</v>
      </c>
      <c r="BV145">
        <v>87</v>
      </c>
      <c r="BW145">
        <v>15</v>
      </c>
      <c r="BX145">
        <v>7</v>
      </c>
      <c r="BY145">
        <v>14</v>
      </c>
      <c r="BZ145">
        <v>7</v>
      </c>
      <c r="CA145">
        <v>15</v>
      </c>
      <c r="CB145">
        <v>65</v>
      </c>
      <c r="CC145">
        <v>58</v>
      </c>
      <c r="CD145">
        <v>61</v>
      </c>
      <c r="CE145">
        <v>61</v>
      </c>
      <c r="CF145">
        <v>61</v>
      </c>
      <c r="CG145">
        <v>58</v>
      </c>
      <c r="CH145">
        <v>66</v>
      </c>
      <c r="CI145">
        <v>65</v>
      </c>
      <c r="CJ145">
        <v>73</v>
      </c>
      <c r="CK145">
        <v>65</v>
      </c>
      <c r="CL145">
        <v>77</v>
      </c>
      <c r="CM145">
        <v>82</v>
      </c>
      <c r="CN145">
        <v>77</v>
      </c>
      <c r="CO145">
        <v>79</v>
      </c>
      <c r="CP145">
        <v>87</v>
      </c>
      <c r="CQ145">
        <v>79</v>
      </c>
      <c r="CR145">
        <v>22</v>
      </c>
    </row>
    <row r="146" spans="1:96">
      <c r="A146">
        <v>145</v>
      </c>
      <c r="B146" t="s">
        <v>788</v>
      </c>
      <c r="C146" t="s">
        <v>734</v>
      </c>
      <c r="D146" t="s">
        <v>753</v>
      </c>
      <c r="E146" t="s">
        <v>507</v>
      </c>
      <c r="F146">
        <v>85</v>
      </c>
      <c r="G146">
        <v>30</v>
      </c>
      <c r="H146" t="s">
        <v>789</v>
      </c>
      <c r="I146" t="s">
        <v>790</v>
      </c>
      <c r="J146">
        <v>85</v>
      </c>
      <c r="K146">
        <v>85</v>
      </c>
      <c r="L146">
        <v>46500000</v>
      </c>
      <c r="M146" t="s">
        <v>753</v>
      </c>
      <c r="N146" t="s">
        <v>753</v>
      </c>
      <c r="O146" t="s">
        <v>287</v>
      </c>
      <c r="P146" t="s">
        <v>791</v>
      </c>
      <c r="Q146">
        <v>30</v>
      </c>
      <c r="R146">
        <v>172</v>
      </c>
      <c r="S146">
        <v>69</v>
      </c>
      <c r="T146">
        <v>2303</v>
      </c>
      <c r="U146">
        <v>483</v>
      </c>
      <c r="V146" t="s">
        <v>507</v>
      </c>
      <c r="W146">
        <v>46000</v>
      </c>
      <c r="X146">
        <v>97700000</v>
      </c>
      <c r="Y146" t="s">
        <v>753</v>
      </c>
      <c r="Z146">
        <v>2024</v>
      </c>
      <c r="AA146">
        <v>19</v>
      </c>
      <c r="AB146">
        <v>2020</v>
      </c>
      <c r="AC146" t="s">
        <v>103</v>
      </c>
      <c r="AD146" t="s">
        <v>137</v>
      </c>
      <c r="AE146">
        <v>3</v>
      </c>
      <c r="AF146">
        <v>3</v>
      </c>
      <c r="AG146">
        <v>2</v>
      </c>
      <c r="AH146" t="s">
        <v>287</v>
      </c>
      <c r="AI146" t="s">
        <v>289</v>
      </c>
      <c r="AJ146" t="s">
        <v>753</v>
      </c>
      <c r="AK146">
        <v>8</v>
      </c>
      <c r="AL146" t="s">
        <v>107</v>
      </c>
      <c r="AM146" t="s">
        <v>107</v>
      </c>
      <c r="AN146">
        <v>76</v>
      </c>
      <c r="AO146">
        <v>74</v>
      </c>
      <c r="AP146">
        <v>83</v>
      </c>
      <c r="AQ146">
        <v>87</v>
      </c>
      <c r="AR146">
        <v>80</v>
      </c>
      <c r="AS146">
        <v>83</v>
      </c>
      <c r="AT146">
        <v>87</v>
      </c>
      <c r="AU146">
        <v>66</v>
      </c>
      <c r="AV146">
        <v>60</v>
      </c>
      <c r="AW146">
        <v>84</v>
      </c>
      <c r="AX146">
        <v>68</v>
      </c>
      <c r="AY146">
        <v>87</v>
      </c>
      <c r="AZ146">
        <v>88</v>
      </c>
      <c r="BA146">
        <v>75</v>
      </c>
      <c r="BB146">
        <v>78</v>
      </c>
      <c r="BC146">
        <v>88</v>
      </c>
      <c r="BD146">
        <v>77</v>
      </c>
      <c r="BE146">
        <v>76</v>
      </c>
      <c r="BF146">
        <v>83</v>
      </c>
      <c r="BG146">
        <v>84</v>
      </c>
      <c r="BH146">
        <v>90</v>
      </c>
      <c r="BI146">
        <v>82</v>
      </c>
      <c r="BJ146">
        <v>63</v>
      </c>
      <c r="BK146">
        <v>91</v>
      </c>
      <c r="BL146">
        <v>80</v>
      </c>
      <c r="BM146">
        <v>81</v>
      </c>
      <c r="BN146">
        <v>84</v>
      </c>
      <c r="BO146">
        <v>80</v>
      </c>
      <c r="BP146">
        <v>81</v>
      </c>
      <c r="BQ146">
        <v>82</v>
      </c>
      <c r="BR146">
        <v>76</v>
      </c>
      <c r="BS146">
        <v>87</v>
      </c>
      <c r="BT146">
        <v>81</v>
      </c>
      <c r="BU146">
        <v>85</v>
      </c>
      <c r="BV146">
        <v>84</v>
      </c>
      <c r="BW146">
        <v>8</v>
      </c>
      <c r="BX146">
        <v>14</v>
      </c>
      <c r="BY146">
        <v>13</v>
      </c>
      <c r="BZ146">
        <v>13</v>
      </c>
      <c r="CA146">
        <v>14</v>
      </c>
      <c r="CB146">
        <v>79</v>
      </c>
      <c r="CC146">
        <v>82</v>
      </c>
      <c r="CD146">
        <v>81</v>
      </c>
      <c r="CE146">
        <v>81</v>
      </c>
      <c r="CF146">
        <v>81</v>
      </c>
      <c r="CG146">
        <v>82</v>
      </c>
      <c r="CH146">
        <v>84</v>
      </c>
      <c r="CI146">
        <v>85</v>
      </c>
      <c r="CJ146">
        <v>85</v>
      </c>
      <c r="CK146">
        <v>85</v>
      </c>
      <c r="CL146">
        <v>85</v>
      </c>
      <c r="CM146">
        <v>85</v>
      </c>
      <c r="CN146">
        <v>85</v>
      </c>
      <c r="CO146">
        <v>85</v>
      </c>
      <c r="CP146">
        <v>82</v>
      </c>
      <c r="CQ146">
        <v>85</v>
      </c>
      <c r="CR146">
        <v>22</v>
      </c>
    </row>
    <row r="147" spans="1:96">
      <c r="A147">
        <v>146</v>
      </c>
      <c r="B147" t="s">
        <v>792</v>
      </c>
      <c r="C147" t="s">
        <v>734</v>
      </c>
      <c r="D147" t="s">
        <v>753</v>
      </c>
      <c r="E147" t="s">
        <v>267</v>
      </c>
      <c r="F147">
        <v>85</v>
      </c>
      <c r="G147">
        <v>30</v>
      </c>
      <c r="H147" t="s">
        <v>793</v>
      </c>
      <c r="I147" t="s">
        <v>794</v>
      </c>
      <c r="J147">
        <v>85</v>
      </c>
      <c r="K147">
        <v>90</v>
      </c>
      <c r="L147">
        <v>76000000</v>
      </c>
      <c r="M147" t="s">
        <v>753</v>
      </c>
      <c r="N147" t="s">
        <v>765</v>
      </c>
      <c r="O147" t="s">
        <v>319</v>
      </c>
      <c r="P147" t="s">
        <v>795</v>
      </c>
      <c r="Q147">
        <v>24</v>
      </c>
      <c r="R147">
        <v>184</v>
      </c>
      <c r="S147">
        <v>81</v>
      </c>
      <c r="T147">
        <v>2195</v>
      </c>
      <c r="U147">
        <v>483</v>
      </c>
      <c r="V147" t="s">
        <v>267</v>
      </c>
      <c r="W147">
        <v>82000</v>
      </c>
      <c r="X147">
        <v>134900000</v>
      </c>
      <c r="Y147" t="s">
        <v>753</v>
      </c>
      <c r="Z147">
        <v>2026</v>
      </c>
      <c r="AA147">
        <v>19</v>
      </c>
      <c r="AB147">
        <v>2019</v>
      </c>
      <c r="AC147" t="s">
        <v>103</v>
      </c>
      <c r="AD147" t="s">
        <v>137</v>
      </c>
      <c r="AE147">
        <v>3</v>
      </c>
      <c r="AF147">
        <v>3</v>
      </c>
      <c r="AG147">
        <v>3</v>
      </c>
      <c r="AH147" t="s">
        <v>319</v>
      </c>
      <c r="AI147" t="s">
        <v>321</v>
      </c>
      <c r="AJ147" t="s">
        <v>114</v>
      </c>
      <c r="AK147">
        <v>22</v>
      </c>
      <c r="AL147" t="s">
        <v>107</v>
      </c>
      <c r="AM147" t="s">
        <v>116</v>
      </c>
      <c r="AN147">
        <v>93</v>
      </c>
      <c r="AO147">
        <v>72</v>
      </c>
      <c r="AP147">
        <v>76</v>
      </c>
      <c r="AQ147">
        <v>81</v>
      </c>
      <c r="AR147">
        <v>78</v>
      </c>
      <c r="AS147">
        <v>83</v>
      </c>
      <c r="AT147">
        <v>84</v>
      </c>
      <c r="AU147">
        <v>69</v>
      </c>
      <c r="AV147">
        <v>74</v>
      </c>
      <c r="AW147">
        <v>79</v>
      </c>
      <c r="AX147">
        <v>66</v>
      </c>
      <c r="AY147">
        <v>83</v>
      </c>
      <c r="AZ147">
        <v>69</v>
      </c>
      <c r="BA147">
        <v>64</v>
      </c>
      <c r="BB147">
        <v>68</v>
      </c>
      <c r="BC147">
        <v>79</v>
      </c>
      <c r="BD147">
        <v>92</v>
      </c>
      <c r="BE147">
        <v>94</v>
      </c>
      <c r="BF147">
        <v>78</v>
      </c>
      <c r="BG147">
        <v>85</v>
      </c>
      <c r="BH147">
        <v>76</v>
      </c>
      <c r="BI147">
        <v>83</v>
      </c>
      <c r="BJ147">
        <v>68</v>
      </c>
      <c r="BK147">
        <v>90</v>
      </c>
      <c r="BL147">
        <v>81</v>
      </c>
      <c r="BM147">
        <v>72</v>
      </c>
      <c r="BN147">
        <v>82</v>
      </c>
      <c r="BO147">
        <v>78</v>
      </c>
      <c r="BP147">
        <v>80</v>
      </c>
      <c r="BQ147">
        <v>73</v>
      </c>
      <c r="BR147">
        <v>50</v>
      </c>
      <c r="BS147">
        <v>80</v>
      </c>
      <c r="BT147">
        <v>74</v>
      </c>
      <c r="BU147">
        <v>81</v>
      </c>
      <c r="BV147">
        <v>80</v>
      </c>
      <c r="BW147">
        <v>12</v>
      </c>
      <c r="BX147">
        <v>10</v>
      </c>
      <c r="BY147">
        <v>7</v>
      </c>
      <c r="BZ147">
        <v>7</v>
      </c>
      <c r="CA147">
        <v>7</v>
      </c>
      <c r="CB147">
        <v>82</v>
      </c>
      <c r="CC147">
        <v>81</v>
      </c>
      <c r="CD147">
        <v>80</v>
      </c>
      <c r="CE147">
        <v>80</v>
      </c>
      <c r="CF147">
        <v>80</v>
      </c>
      <c r="CG147">
        <v>81</v>
      </c>
      <c r="CH147">
        <v>82</v>
      </c>
      <c r="CI147">
        <v>84</v>
      </c>
      <c r="CJ147">
        <v>81</v>
      </c>
      <c r="CK147">
        <v>84</v>
      </c>
      <c r="CL147">
        <v>86</v>
      </c>
      <c r="CM147">
        <v>82</v>
      </c>
      <c r="CN147">
        <v>86</v>
      </c>
      <c r="CO147">
        <v>85</v>
      </c>
      <c r="CP147">
        <v>82</v>
      </c>
      <c r="CQ147">
        <v>85</v>
      </c>
      <c r="CR147">
        <v>20</v>
      </c>
    </row>
    <row r="148" spans="1:96">
      <c r="A148">
        <v>147</v>
      </c>
      <c r="B148" t="s">
        <v>796</v>
      </c>
      <c r="C148" t="s">
        <v>734</v>
      </c>
      <c r="D148" t="s">
        <v>419</v>
      </c>
      <c r="E148" t="s">
        <v>426</v>
      </c>
      <c r="F148">
        <v>85</v>
      </c>
      <c r="G148">
        <v>30</v>
      </c>
      <c r="H148" t="s">
        <v>797</v>
      </c>
      <c r="I148" t="s">
        <v>798</v>
      </c>
      <c r="J148">
        <v>85</v>
      </c>
      <c r="K148">
        <v>89</v>
      </c>
      <c r="L148">
        <v>71000000</v>
      </c>
      <c r="M148" t="s">
        <v>419</v>
      </c>
      <c r="N148" t="s">
        <v>419</v>
      </c>
      <c r="O148" t="s">
        <v>142</v>
      </c>
      <c r="P148" t="s">
        <v>799</v>
      </c>
      <c r="Q148">
        <v>22</v>
      </c>
      <c r="R148">
        <v>189</v>
      </c>
      <c r="S148">
        <v>89</v>
      </c>
      <c r="T148">
        <v>1982</v>
      </c>
      <c r="U148">
        <v>435</v>
      </c>
      <c r="V148" t="s">
        <v>151</v>
      </c>
      <c r="W148">
        <v>77000</v>
      </c>
      <c r="X148">
        <v>122500000</v>
      </c>
      <c r="Y148" t="s">
        <v>419</v>
      </c>
      <c r="Z148">
        <v>2027</v>
      </c>
      <c r="AA148">
        <v>4</v>
      </c>
      <c r="AB148">
        <v>2022</v>
      </c>
      <c r="AC148" t="s">
        <v>103</v>
      </c>
      <c r="AD148" t="s">
        <v>104</v>
      </c>
      <c r="AE148">
        <v>3</v>
      </c>
      <c r="AF148">
        <v>2</v>
      </c>
      <c r="AG148">
        <v>3</v>
      </c>
      <c r="AH148" t="s">
        <v>142</v>
      </c>
      <c r="AI148" t="s">
        <v>145</v>
      </c>
      <c r="AJ148" t="s">
        <v>419</v>
      </c>
      <c r="AK148">
        <v>3</v>
      </c>
      <c r="AL148" t="s">
        <v>116</v>
      </c>
      <c r="AM148" t="s">
        <v>107</v>
      </c>
      <c r="AN148">
        <v>75</v>
      </c>
      <c r="AO148">
        <v>59</v>
      </c>
      <c r="AP148">
        <v>61</v>
      </c>
      <c r="AQ148">
        <v>69</v>
      </c>
      <c r="AR148">
        <v>84</v>
      </c>
      <c r="AS148">
        <v>87</v>
      </c>
      <c r="AT148">
        <v>52</v>
      </c>
      <c r="AU148">
        <v>50</v>
      </c>
      <c r="AV148">
        <v>85</v>
      </c>
      <c r="AW148">
        <v>75</v>
      </c>
      <c r="AX148">
        <v>45</v>
      </c>
      <c r="AY148">
        <v>65</v>
      </c>
      <c r="AZ148">
        <v>48</v>
      </c>
      <c r="BA148">
        <v>55</v>
      </c>
      <c r="BB148">
        <v>67</v>
      </c>
      <c r="BC148">
        <v>73</v>
      </c>
      <c r="BD148">
        <v>69</v>
      </c>
      <c r="BE148">
        <v>79</v>
      </c>
      <c r="BF148">
        <v>60</v>
      </c>
      <c r="BG148">
        <v>84</v>
      </c>
      <c r="BH148">
        <v>62</v>
      </c>
      <c r="BI148">
        <v>82</v>
      </c>
      <c r="BJ148">
        <v>93</v>
      </c>
      <c r="BK148">
        <v>75</v>
      </c>
      <c r="BL148">
        <v>93</v>
      </c>
      <c r="BM148">
        <v>66</v>
      </c>
      <c r="BN148">
        <v>83</v>
      </c>
      <c r="BO148">
        <v>81</v>
      </c>
      <c r="BP148">
        <v>44</v>
      </c>
      <c r="BQ148">
        <v>45</v>
      </c>
      <c r="BR148">
        <v>40</v>
      </c>
      <c r="BS148">
        <v>82</v>
      </c>
      <c r="BT148">
        <v>84</v>
      </c>
      <c r="BU148">
        <v>86</v>
      </c>
      <c r="BV148">
        <v>85</v>
      </c>
      <c r="BW148">
        <v>12</v>
      </c>
      <c r="BX148">
        <v>11</v>
      </c>
      <c r="BY148">
        <v>11</v>
      </c>
      <c r="BZ148">
        <v>12</v>
      </c>
      <c r="CA148">
        <v>10</v>
      </c>
      <c r="CB148">
        <v>71</v>
      </c>
      <c r="CC148">
        <v>64</v>
      </c>
      <c r="CD148">
        <v>65</v>
      </c>
      <c r="CE148">
        <v>65</v>
      </c>
      <c r="CF148">
        <v>65</v>
      </c>
      <c r="CG148">
        <v>64</v>
      </c>
      <c r="CH148">
        <v>67</v>
      </c>
      <c r="CI148">
        <v>68</v>
      </c>
      <c r="CJ148">
        <v>71</v>
      </c>
      <c r="CK148">
        <v>68</v>
      </c>
      <c r="CL148">
        <v>79</v>
      </c>
      <c r="CM148">
        <v>81</v>
      </c>
      <c r="CN148">
        <v>79</v>
      </c>
      <c r="CO148">
        <v>81</v>
      </c>
      <c r="CP148">
        <v>87</v>
      </c>
      <c r="CQ148">
        <v>81</v>
      </c>
      <c r="CR148">
        <v>22</v>
      </c>
    </row>
    <row r="149" spans="1:96">
      <c r="A149">
        <v>148</v>
      </c>
      <c r="B149" t="s">
        <v>800</v>
      </c>
      <c r="C149" t="s">
        <v>734</v>
      </c>
      <c r="D149" t="s">
        <v>749</v>
      </c>
      <c r="E149" t="s">
        <v>98</v>
      </c>
      <c r="F149">
        <v>85</v>
      </c>
      <c r="G149">
        <v>30</v>
      </c>
      <c r="H149" t="s">
        <v>801</v>
      </c>
      <c r="I149" t="s">
        <v>800</v>
      </c>
      <c r="J149">
        <v>85</v>
      </c>
      <c r="K149">
        <v>85</v>
      </c>
      <c r="L149">
        <v>37500000</v>
      </c>
      <c r="M149" t="s">
        <v>749</v>
      </c>
      <c r="N149" t="s">
        <v>749</v>
      </c>
      <c r="O149" t="s">
        <v>167</v>
      </c>
      <c r="P149" t="s">
        <v>802</v>
      </c>
      <c r="Q149">
        <v>32</v>
      </c>
      <c r="R149">
        <v>183</v>
      </c>
      <c r="S149">
        <v>83</v>
      </c>
      <c r="T149">
        <v>2196</v>
      </c>
      <c r="U149">
        <v>471</v>
      </c>
      <c r="V149" t="s">
        <v>98</v>
      </c>
      <c r="W149">
        <v>170000</v>
      </c>
      <c r="X149">
        <v>69400000</v>
      </c>
      <c r="Y149" t="s">
        <v>749</v>
      </c>
      <c r="Z149">
        <v>2024</v>
      </c>
      <c r="AA149">
        <v>2</v>
      </c>
      <c r="AB149">
        <v>2017</v>
      </c>
      <c r="AC149" t="s">
        <v>103</v>
      </c>
      <c r="AD149" t="s">
        <v>104</v>
      </c>
      <c r="AE149">
        <v>2</v>
      </c>
      <c r="AF149">
        <v>3</v>
      </c>
      <c r="AG149">
        <v>3</v>
      </c>
      <c r="AH149" t="s">
        <v>167</v>
      </c>
      <c r="AI149" t="s">
        <v>170</v>
      </c>
      <c r="AJ149" t="s">
        <v>749</v>
      </c>
      <c r="AK149">
        <v>2</v>
      </c>
      <c r="AL149" t="s">
        <v>107</v>
      </c>
      <c r="AM149" t="s">
        <v>107</v>
      </c>
      <c r="AN149">
        <v>91</v>
      </c>
      <c r="AO149">
        <v>63</v>
      </c>
      <c r="AP149">
        <v>77</v>
      </c>
      <c r="AQ149">
        <v>78</v>
      </c>
      <c r="AR149">
        <v>80</v>
      </c>
      <c r="AS149">
        <v>82</v>
      </c>
      <c r="AT149">
        <v>77</v>
      </c>
      <c r="AU149">
        <v>51</v>
      </c>
      <c r="AV149">
        <v>74</v>
      </c>
      <c r="AW149">
        <v>80</v>
      </c>
      <c r="AX149">
        <v>57</v>
      </c>
      <c r="AY149">
        <v>79</v>
      </c>
      <c r="AZ149">
        <v>76</v>
      </c>
      <c r="BA149">
        <v>71</v>
      </c>
      <c r="BB149">
        <v>81</v>
      </c>
      <c r="BC149">
        <v>81</v>
      </c>
      <c r="BD149">
        <v>87</v>
      </c>
      <c r="BE149">
        <v>94</v>
      </c>
      <c r="BF149">
        <v>66</v>
      </c>
      <c r="BG149">
        <v>85</v>
      </c>
      <c r="BH149">
        <v>69</v>
      </c>
      <c r="BI149">
        <v>86</v>
      </c>
      <c r="BJ149">
        <v>83</v>
      </c>
      <c r="BK149">
        <v>86</v>
      </c>
      <c r="BL149">
        <v>80</v>
      </c>
      <c r="BM149">
        <v>69</v>
      </c>
      <c r="BN149">
        <v>84</v>
      </c>
      <c r="BO149">
        <v>80</v>
      </c>
      <c r="BP149">
        <v>68</v>
      </c>
      <c r="BQ149">
        <v>69</v>
      </c>
      <c r="BR149">
        <v>63</v>
      </c>
      <c r="BS149">
        <v>75</v>
      </c>
      <c r="BT149">
        <v>76</v>
      </c>
      <c r="BU149">
        <v>84</v>
      </c>
      <c r="BV149">
        <v>83</v>
      </c>
      <c r="BW149">
        <v>12</v>
      </c>
      <c r="BX149">
        <v>6</v>
      </c>
      <c r="BY149">
        <v>16</v>
      </c>
      <c r="BZ149">
        <v>15</v>
      </c>
      <c r="CA149">
        <v>8</v>
      </c>
      <c r="CB149">
        <v>77</v>
      </c>
      <c r="CC149">
        <v>76</v>
      </c>
      <c r="CD149">
        <v>76</v>
      </c>
      <c r="CE149">
        <v>76</v>
      </c>
      <c r="CF149">
        <v>76</v>
      </c>
      <c r="CG149">
        <v>76</v>
      </c>
      <c r="CH149">
        <v>78</v>
      </c>
      <c r="CI149">
        <v>81</v>
      </c>
      <c r="CJ149">
        <v>81</v>
      </c>
      <c r="CK149">
        <v>81</v>
      </c>
      <c r="CL149">
        <v>85</v>
      </c>
      <c r="CM149">
        <v>84</v>
      </c>
      <c r="CN149">
        <v>85</v>
      </c>
      <c r="CO149">
        <v>85</v>
      </c>
      <c r="CP149">
        <v>84</v>
      </c>
      <c r="CQ149">
        <v>85</v>
      </c>
      <c r="CR149">
        <v>22</v>
      </c>
    </row>
    <row r="150" spans="1:96">
      <c r="A150">
        <v>149</v>
      </c>
      <c r="B150" t="s">
        <v>803</v>
      </c>
      <c r="C150" t="s">
        <v>734</v>
      </c>
      <c r="D150" t="s">
        <v>419</v>
      </c>
      <c r="E150" t="s">
        <v>110</v>
      </c>
      <c r="F150">
        <v>85</v>
      </c>
      <c r="G150">
        <v>30</v>
      </c>
      <c r="H150" t="s">
        <v>804</v>
      </c>
      <c r="I150" t="s">
        <v>803</v>
      </c>
      <c r="J150">
        <v>84</v>
      </c>
      <c r="K150">
        <v>85</v>
      </c>
      <c r="L150">
        <v>39000000</v>
      </c>
      <c r="M150" t="s">
        <v>419</v>
      </c>
      <c r="N150" t="s">
        <v>419</v>
      </c>
      <c r="O150" t="s">
        <v>319</v>
      </c>
      <c r="P150" t="s">
        <v>805</v>
      </c>
      <c r="Q150">
        <v>29</v>
      </c>
      <c r="R150">
        <v>191</v>
      </c>
      <c r="S150">
        <v>81</v>
      </c>
      <c r="T150">
        <v>1910</v>
      </c>
      <c r="U150">
        <v>425</v>
      </c>
      <c r="V150" t="s">
        <v>110</v>
      </c>
      <c r="W150">
        <v>155000</v>
      </c>
      <c r="X150">
        <v>77000000</v>
      </c>
      <c r="Y150" t="s">
        <v>419</v>
      </c>
      <c r="Z150">
        <v>2025</v>
      </c>
      <c r="AA150">
        <v>19</v>
      </c>
      <c r="AB150">
        <v>2021</v>
      </c>
      <c r="AC150" t="s">
        <v>103</v>
      </c>
      <c r="AD150" t="s">
        <v>104</v>
      </c>
      <c r="AE150">
        <v>4</v>
      </c>
      <c r="AF150">
        <v>2</v>
      </c>
      <c r="AG150">
        <v>3</v>
      </c>
      <c r="AH150" t="s">
        <v>319</v>
      </c>
      <c r="AI150" t="s">
        <v>321</v>
      </c>
      <c r="AJ150" t="s">
        <v>419</v>
      </c>
      <c r="AK150">
        <v>4</v>
      </c>
      <c r="AL150" t="s">
        <v>116</v>
      </c>
      <c r="AM150" t="s">
        <v>107</v>
      </c>
      <c r="AN150">
        <v>81</v>
      </c>
      <c r="AO150">
        <v>49</v>
      </c>
      <c r="AP150">
        <v>64</v>
      </c>
      <c r="AQ150">
        <v>66</v>
      </c>
      <c r="AR150">
        <v>85</v>
      </c>
      <c r="AS150">
        <v>80</v>
      </c>
      <c r="AT150">
        <v>42</v>
      </c>
      <c r="AU150">
        <v>46</v>
      </c>
      <c r="AV150">
        <v>85</v>
      </c>
      <c r="AW150">
        <v>78</v>
      </c>
      <c r="AX150">
        <v>42</v>
      </c>
      <c r="AY150">
        <v>61</v>
      </c>
      <c r="AZ150">
        <v>46</v>
      </c>
      <c r="BA150">
        <v>52</v>
      </c>
      <c r="BB150">
        <v>77</v>
      </c>
      <c r="BC150">
        <v>75</v>
      </c>
      <c r="BD150">
        <v>77</v>
      </c>
      <c r="BE150">
        <v>84</v>
      </c>
      <c r="BF150">
        <v>62</v>
      </c>
      <c r="BG150">
        <v>82</v>
      </c>
      <c r="BH150">
        <v>39</v>
      </c>
      <c r="BI150">
        <v>52</v>
      </c>
      <c r="BJ150">
        <v>80</v>
      </c>
      <c r="BK150">
        <v>67</v>
      </c>
      <c r="BL150">
        <v>87</v>
      </c>
      <c r="BM150">
        <v>53</v>
      </c>
      <c r="BN150">
        <v>78</v>
      </c>
      <c r="BO150">
        <v>84</v>
      </c>
      <c r="BP150">
        <v>55</v>
      </c>
      <c r="BQ150">
        <v>59</v>
      </c>
      <c r="BR150">
        <v>43</v>
      </c>
      <c r="BS150">
        <v>82</v>
      </c>
      <c r="BT150">
        <v>85</v>
      </c>
      <c r="BU150">
        <v>86</v>
      </c>
      <c r="BV150">
        <v>83</v>
      </c>
      <c r="BW150">
        <v>11</v>
      </c>
      <c r="BX150">
        <v>11</v>
      </c>
      <c r="BY150">
        <v>9</v>
      </c>
      <c r="BZ150">
        <v>5</v>
      </c>
      <c r="CA150">
        <v>14</v>
      </c>
      <c r="CB150">
        <v>68</v>
      </c>
      <c r="CC150">
        <v>64</v>
      </c>
      <c r="CD150">
        <v>66</v>
      </c>
      <c r="CE150">
        <v>66</v>
      </c>
      <c r="CF150">
        <v>66</v>
      </c>
      <c r="CG150">
        <v>64</v>
      </c>
      <c r="CH150">
        <v>70</v>
      </c>
      <c r="CI150">
        <v>69</v>
      </c>
      <c r="CJ150">
        <v>74</v>
      </c>
      <c r="CK150">
        <v>69</v>
      </c>
      <c r="CL150">
        <v>78</v>
      </c>
      <c r="CM150">
        <v>83</v>
      </c>
      <c r="CN150">
        <v>78</v>
      </c>
      <c r="CO150">
        <v>81</v>
      </c>
      <c r="CP150">
        <v>85</v>
      </c>
      <c r="CQ150">
        <v>81</v>
      </c>
      <c r="CR150">
        <v>21</v>
      </c>
    </row>
    <row r="151" spans="1:96">
      <c r="A151">
        <v>150</v>
      </c>
      <c r="B151" t="s">
        <v>806</v>
      </c>
      <c r="C151" t="s">
        <v>734</v>
      </c>
      <c r="D151" t="s">
        <v>749</v>
      </c>
      <c r="E151" t="s">
        <v>264</v>
      </c>
      <c r="F151">
        <v>84</v>
      </c>
      <c r="G151">
        <v>30</v>
      </c>
      <c r="H151" t="s">
        <v>807</v>
      </c>
      <c r="I151" t="s">
        <v>806</v>
      </c>
      <c r="J151">
        <v>84</v>
      </c>
      <c r="K151">
        <v>84</v>
      </c>
      <c r="L151">
        <v>30500000</v>
      </c>
      <c r="M151" t="s">
        <v>808</v>
      </c>
      <c r="N151" t="s">
        <v>749</v>
      </c>
      <c r="O151" t="s">
        <v>167</v>
      </c>
      <c r="P151" t="s">
        <v>809</v>
      </c>
      <c r="Q151">
        <v>31</v>
      </c>
      <c r="R151">
        <v>173</v>
      </c>
      <c r="S151">
        <v>71</v>
      </c>
      <c r="T151">
        <v>2181</v>
      </c>
      <c r="U151">
        <v>445</v>
      </c>
      <c r="V151" t="s">
        <v>264</v>
      </c>
      <c r="W151">
        <v>120000</v>
      </c>
      <c r="X151">
        <v>58000000</v>
      </c>
      <c r="Y151" t="s">
        <v>749</v>
      </c>
      <c r="Z151">
        <v>2024</v>
      </c>
      <c r="AA151">
        <v>2</v>
      </c>
      <c r="AB151">
        <v>2022</v>
      </c>
      <c r="AC151" t="s">
        <v>103</v>
      </c>
      <c r="AD151" t="s">
        <v>104</v>
      </c>
      <c r="AE151">
        <v>4</v>
      </c>
      <c r="AF151">
        <v>3</v>
      </c>
      <c r="AG151">
        <v>2</v>
      </c>
      <c r="AH151" t="s">
        <v>167</v>
      </c>
      <c r="AI151" t="s">
        <v>170</v>
      </c>
      <c r="AJ151" t="s">
        <v>114</v>
      </c>
      <c r="AK151">
        <v>12</v>
      </c>
      <c r="AL151" t="s">
        <v>116</v>
      </c>
      <c r="AM151" t="s">
        <v>116</v>
      </c>
      <c r="AN151">
        <v>70</v>
      </c>
      <c r="AO151">
        <v>64</v>
      </c>
      <c r="AP151">
        <v>82</v>
      </c>
      <c r="AQ151">
        <v>77</v>
      </c>
      <c r="AR151">
        <v>80</v>
      </c>
      <c r="AS151">
        <v>72</v>
      </c>
      <c r="AT151">
        <v>86</v>
      </c>
      <c r="AU151">
        <v>54</v>
      </c>
      <c r="AV151">
        <v>79</v>
      </c>
      <c r="AW151">
        <v>82</v>
      </c>
      <c r="AX151">
        <v>58</v>
      </c>
      <c r="AY151">
        <v>74</v>
      </c>
      <c r="AZ151">
        <v>86</v>
      </c>
      <c r="BA151">
        <v>84</v>
      </c>
      <c r="BB151">
        <v>80</v>
      </c>
      <c r="BC151">
        <v>82</v>
      </c>
      <c r="BD151">
        <v>74</v>
      </c>
      <c r="BE151">
        <v>66</v>
      </c>
      <c r="BF151">
        <v>66</v>
      </c>
      <c r="BG151">
        <v>83</v>
      </c>
      <c r="BH151">
        <v>79</v>
      </c>
      <c r="BI151">
        <v>79</v>
      </c>
      <c r="BJ151">
        <v>78</v>
      </c>
      <c r="BK151">
        <v>86</v>
      </c>
      <c r="BL151">
        <v>64</v>
      </c>
      <c r="BM151">
        <v>70</v>
      </c>
      <c r="BN151">
        <v>73</v>
      </c>
      <c r="BO151">
        <v>81</v>
      </c>
      <c r="BP151">
        <v>76</v>
      </c>
      <c r="BQ151">
        <v>80</v>
      </c>
      <c r="BR151">
        <v>66</v>
      </c>
      <c r="BS151">
        <v>78</v>
      </c>
      <c r="BT151">
        <v>79</v>
      </c>
      <c r="BU151">
        <v>81</v>
      </c>
      <c r="BV151">
        <v>81</v>
      </c>
      <c r="BW151">
        <v>11</v>
      </c>
      <c r="BX151">
        <v>14</v>
      </c>
      <c r="BY151">
        <v>8</v>
      </c>
      <c r="BZ151">
        <v>11</v>
      </c>
      <c r="CA151">
        <v>10</v>
      </c>
      <c r="CB151">
        <v>74</v>
      </c>
      <c r="CC151">
        <v>75</v>
      </c>
      <c r="CD151">
        <v>75</v>
      </c>
      <c r="CE151">
        <v>75</v>
      </c>
      <c r="CF151">
        <v>75</v>
      </c>
      <c r="CG151">
        <v>75</v>
      </c>
      <c r="CH151">
        <v>78</v>
      </c>
      <c r="CI151">
        <v>80</v>
      </c>
      <c r="CJ151">
        <v>82</v>
      </c>
      <c r="CK151">
        <v>80</v>
      </c>
      <c r="CL151">
        <v>83</v>
      </c>
      <c r="CM151">
        <v>82</v>
      </c>
      <c r="CN151">
        <v>83</v>
      </c>
      <c r="CO151">
        <v>83</v>
      </c>
      <c r="CP151">
        <v>80</v>
      </c>
      <c r="CQ151">
        <v>83</v>
      </c>
      <c r="CR151">
        <v>21</v>
      </c>
    </row>
    <row r="152" spans="1:96">
      <c r="A152">
        <v>151</v>
      </c>
      <c r="B152" t="s">
        <v>810</v>
      </c>
      <c r="C152" t="s">
        <v>734</v>
      </c>
      <c r="D152" t="s">
        <v>749</v>
      </c>
      <c r="E152" t="s">
        <v>118</v>
      </c>
      <c r="F152">
        <v>84</v>
      </c>
      <c r="G152">
        <v>30</v>
      </c>
      <c r="H152" t="s">
        <v>810</v>
      </c>
      <c r="I152" t="s">
        <v>811</v>
      </c>
      <c r="J152">
        <v>84</v>
      </c>
      <c r="K152">
        <v>84</v>
      </c>
      <c r="L152">
        <v>36500000</v>
      </c>
      <c r="M152" t="s">
        <v>749</v>
      </c>
      <c r="N152" t="s">
        <v>749</v>
      </c>
      <c r="O152" t="s">
        <v>199</v>
      </c>
      <c r="P152" t="s">
        <v>812</v>
      </c>
      <c r="Q152">
        <v>30</v>
      </c>
      <c r="R152">
        <v>173</v>
      </c>
      <c r="S152">
        <v>73</v>
      </c>
      <c r="T152">
        <v>2105</v>
      </c>
      <c r="U152">
        <v>450</v>
      </c>
      <c r="V152" t="s">
        <v>123</v>
      </c>
      <c r="W152">
        <v>185000</v>
      </c>
      <c r="X152">
        <v>74800000</v>
      </c>
      <c r="Y152" t="s">
        <v>749</v>
      </c>
      <c r="Z152">
        <v>2025</v>
      </c>
      <c r="AA152">
        <v>2</v>
      </c>
      <c r="AB152">
        <v>2013</v>
      </c>
      <c r="AC152" t="s">
        <v>103</v>
      </c>
      <c r="AD152" t="s">
        <v>104</v>
      </c>
      <c r="AE152">
        <v>3</v>
      </c>
      <c r="AF152">
        <v>3</v>
      </c>
      <c r="AG152">
        <v>3</v>
      </c>
      <c r="AH152" t="s">
        <v>199</v>
      </c>
      <c r="AI152" t="s">
        <v>201</v>
      </c>
      <c r="AJ152" t="s">
        <v>749</v>
      </c>
      <c r="AK152">
        <v>20</v>
      </c>
      <c r="AL152" t="s">
        <v>107</v>
      </c>
      <c r="AM152" t="s">
        <v>116</v>
      </c>
      <c r="AN152">
        <v>82</v>
      </c>
      <c r="AO152">
        <v>54</v>
      </c>
      <c r="AP152">
        <v>77</v>
      </c>
      <c r="AQ152">
        <v>80</v>
      </c>
      <c r="AR152">
        <v>78</v>
      </c>
      <c r="AS152">
        <v>79</v>
      </c>
      <c r="AT152">
        <v>82</v>
      </c>
      <c r="AU152">
        <v>51</v>
      </c>
      <c r="AV152">
        <v>70</v>
      </c>
      <c r="AW152">
        <v>82</v>
      </c>
      <c r="AX152">
        <v>49</v>
      </c>
      <c r="AY152">
        <v>78</v>
      </c>
      <c r="AZ152">
        <v>76</v>
      </c>
      <c r="BA152">
        <v>47</v>
      </c>
      <c r="BB152">
        <v>74</v>
      </c>
      <c r="BC152">
        <v>83</v>
      </c>
      <c r="BD152">
        <v>80</v>
      </c>
      <c r="BE152">
        <v>84</v>
      </c>
      <c r="BF152">
        <v>78</v>
      </c>
      <c r="BG152">
        <v>79</v>
      </c>
      <c r="BH152">
        <v>82</v>
      </c>
      <c r="BI152">
        <v>68</v>
      </c>
      <c r="BJ152">
        <v>77</v>
      </c>
      <c r="BK152">
        <v>85</v>
      </c>
      <c r="BL152">
        <v>74</v>
      </c>
      <c r="BM152">
        <v>47</v>
      </c>
      <c r="BN152">
        <v>85</v>
      </c>
      <c r="BO152">
        <v>78</v>
      </c>
      <c r="BP152">
        <v>75</v>
      </c>
      <c r="BQ152">
        <v>72</v>
      </c>
      <c r="BR152">
        <v>45</v>
      </c>
      <c r="BS152">
        <v>80</v>
      </c>
      <c r="BT152">
        <v>76</v>
      </c>
      <c r="BU152">
        <v>81</v>
      </c>
      <c r="BV152">
        <v>82</v>
      </c>
      <c r="BW152">
        <v>13</v>
      </c>
      <c r="BX152">
        <v>13</v>
      </c>
      <c r="BY152">
        <v>15</v>
      </c>
      <c r="BZ152">
        <v>9</v>
      </c>
      <c r="CA152">
        <v>15</v>
      </c>
      <c r="CB152">
        <v>73</v>
      </c>
      <c r="CC152">
        <v>75</v>
      </c>
      <c r="CD152">
        <v>74</v>
      </c>
      <c r="CE152">
        <v>74</v>
      </c>
      <c r="CF152">
        <v>74</v>
      </c>
      <c r="CG152">
        <v>75</v>
      </c>
      <c r="CH152">
        <v>78</v>
      </c>
      <c r="CI152">
        <v>81</v>
      </c>
      <c r="CJ152">
        <v>80</v>
      </c>
      <c r="CK152">
        <v>81</v>
      </c>
      <c r="CL152">
        <v>84</v>
      </c>
      <c r="CM152">
        <v>82</v>
      </c>
      <c r="CN152">
        <v>84</v>
      </c>
      <c r="CO152">
        <v>84</v>
      </c>
      <c r="CP152">
        <v>81</v>
      </c>
      <c r="CQ152">
        <v>84</v>
      </c>
      <c r="CR152">
        <v>23</v>
      </c>
    </row>
    <row r="153" spans="1:96">
      <c r="A153">
        <v>152</v>
      </c>
      <c r="B153" t="s">
        <v>813</v>
      </c>
      <c r="C153" t="s">
        <v>734</v>
      </c>
      <c r="D153" t="s">
        <v>419</v>
      </c>
      <c r="E153" t="s">
        <v>153</v>
      </c>
      <c r="F153">
        <v>84</v>
      </c>
      <c r="G153">
        <v>30</v>
      </c>
      <c r="H153" t="s">
        <v>814</v>
      </c>
      <c r="I153" t="s">
        <v>813</v>
      </c>
      <c r="J153">
        <v>84</v>
      </c>
      <c r="K153">
        <v>86</v>
      </c>
      <c r="L153">
        <v>46000000</v>
      </c>
      <c r="M153" t="s">
        <v>815</v>
      </c>
      <c r="N153" t="s">
        <v>419</v>
      </c>
      <c r="O153" t="s">
        <v>319</v>
      </c>
      <c r="P153" t="s">
        <v>816</v>
      </c>
      <c r="Q153">
        <v>26</v>
      </c>
      <c r="R153">
        <v>184</v>
      </c>
      <c r="S153">
        <v>79</v>
      </c>
      <c r="T153">
        <v>2014</v>
      </c>
      <c r="U153">
        <v>436</v>
      </c>
      <c r="V153" t="s">
        <v>151</v>
      </c>
      <c r="W153">
        <v>82000</v>
      </c>
      <c r="X153">
        <v>79400000</v>
      </c>
      <c r="Y153" t="s">
        <v>114</v>
      </c>
      <c r="Z153">
        <v>2024</v>
      </c>
      <c r="AA153">
        <v>21</v>
      </c>
      <c r="AB153">
        <v>2019</v>
      </c>
      <c r="AC153" t="s">
        <v>103</v>
      </c>
      <c r="AD153" t="s">
        <v>137</v>
      </c>
      <c r="AE153">
        <v>2</v>
      </c>
      <c r="AF153">
        <v>2</v>
      </c>
      <c r="AG153">
        <v>3</v>
      </c>
      <c r="AH153" t="s">
        <v>319</v>
      </c>
      <c r="AI153" t="s">
        <v>321</v>
      </c>
      <c r="AJ153" t="s">
        <v>419</v>
      </c>
      <c r="AK153">
        <v>21</v>
      </c>
      <c r="AL153" t="s">
        <v>116</v>
      </c>
      <c r="AM153" t="s">
        <v>116</v>
      </c>
      <c r="AN153">
        <v>77</v>
      </c>
      <c r="AO153">
        <v>54</v>
      </c>
      <c r="AP153">
        <v>70</v>
      </c>
      <c r="AQ153">
        <v>71</v>
      </c>
      <c r="AR153">
        <v>84</v>
      </c>
      <c r="AS153">
        <v>80</v>
      </c>
      <c r="AT153">
        <v>78</v>
      </c>
      <c r="AU153">
        <v>53</v>
      </c>
      <c r="AV153">
        <v>82</v>
      </c>
      <c r="AW153">
        <v>77</v>
      </c>
      <c r="AX153">
        <v>46</v>
      </c>
      <c r="AY153">
        <v>65</v>
      </c>
      <c r="AZ153">
        <v>59</v>
      </c>
      <c r="BA153">
        <v>39</v>
      </c>
      <c r="BB153">
        <v>63</v>
      </c>
      <c r="BC153">
        <v>76</v>
      </c>
      <c r="BD153">
        <v>77</v>
      </c>
      <c r="BE153">
        <v>77</v>
      </c>
      <c r="BF153">
        <v>70</v>
      </c>
      <c r="BG153">
        <v>85</v>
      </c>
      <c r="BH153">
        <v>72</v>
      </c>
      <c r="BI153">
        <v>62</v>
      </c>
      <c r="BJ153">
        <v>86</v>
      </c>
      <c r="BK153">
        <v>76</v>
      </c>
      <c r="BL153">
        <v>78</v>
      </c>
      <c r="BM153">
        <v>51</v>
      </c>
      <c r="BN153">
        <v>90</v>
      </c>
      <c r="BO153">
        <v>83</v>
      </c>
      <c r="BP153">
        <v>62</v>
      </c>
      <c r="BQ153">
        <v>63</v>
      </c>
      <c r="BR153">
        <v>42</v>
      </c>
      <c r="BS153">
        <v>77</v>
      </c>
      <c r="BT153">
        <v>85</v>
      </c>
      <c r="BU153">
        <v>85</v>
      </c>
      <c r="BV153">
        <v>83</v>
      </c>
      <c r="BW153">
        <v>10</v>
      </c>
      <c r="BX153">
        <v>7</v>
      </c>
      <c r="BY153">
        <v>8</v>
      </c>
      <c r="BZ153">
        <v>14</v>
      </c>
      <c r="CA153">
        <v>10</v>
      </c>
      <c r="CB153">
        <v>71</v>
      </c>
      <c r="CC153">
        <v>70</v>
      </c>
      <c r="CD153">
        <v>68</v>
      </c>
      <c r="CE153">
        <v>68</v>
      </c>
      <c r="CF153">
        <v>68</v>
      </c>
      <c r="CG153">
        <v>70</v>
      </c>
      <c r="CH153">
        <v>72</v>
      </c>
      <c r="CI153">
        <v>74</v>
      </c>
      <c r="CJ153">
        <v>74</v>
      </c>
      <c r="CK153">
        <v>74</v>
      </c>
      <c r="CL153">
        <v>83</v>
      </c>
      <c r="CM153">
        <v>82</v>
      </c>
      <c r="CN153">
        <v>83</v>
      </c>
      <c r="CO153">
        <v>84</v>
      </c>
      <c r="CP153">
        <v>86</v>
      </c>
      <c r="CQ153">
        <v>84</v>
      </c>
      <c r="CR153">
        <v>21</v>
      </c>
    </row>
    <row r="154" spans="1:96">
      <c r="A154">
        <v>153</v>
      </c>
      <c r="B154" t="s">
        <v>817</v>
      </c>
      <c r="C154" t="s">
        <v>734</v>
      </c>
      <c r="D154" t="s">
        <v>419</v>
      </c>
      <c r="E154" t="s">
        <v>212</v>
      </c>
      <c r="F154">
        <v>84</v>
      </c>
      <c r="G154">
        <v>30</v>
      </c>
      <c r="H154" t="s">
        <v>818</v>
      </c>
      <c r="I154" t="s">
        <v>817</v>
      </c>
      <c r="J154">
        <v>84</v>
      </c>
      <c r="K154">
        <v>84</v>
      </c>
      <c r="L154">
        <v>20000000</v>
      </c>
      <c r="M154" t="s">
        <v>819</v>
      </c>
      <c r="N154" t="s">
        <v>419</v>
      </c>
      <c r="O154" t="s">
        <v>127</v>
      </c>
      <c r="P154" t="s">
        <v>820</v>
      </c>
      <c r="Q154">
        <v>33</v>
      </c>
      <c r="R154">
        <v>191</v>
      </c>
      <c r="S154">
        <v>94</v>
      </c>
      <c r="T154">
        <v>2024</v>
      </c>
      <c r="U154">
        <v>425</v>
      </c>
      <c r="V154" t="s">
        <v>169</v>
      </c>
      <c r="W154">
        <v>66000</v>
      </c>
      <c r="X154">
        <v>34000000</v>
      </c>
      <c r="Y154" t="s">
        <v>419</v>
      </c>
      <c r="Z154">
        <v>2023</v>
      </c>
      <c r="AA154">
        <v>15</v>
      </c>
      <c r="AB154">
        <v>2019</v>
      </c>
      <c r="AC154" t="s">
        <v>103</v>
      </c>
      <c r="AD154" t="s">
        <v>104</v>
      </c>
      <c r="AE154">
        <v>3</v>
      </c>
      <c r="AF154">
        <v>3</v>
      </c>
      <c r="AG154">
        <v>4</v>
      </c>
      <c r="AH154" t="s">
        <v>103</v>
      </c>
      <c r="AI154" t="s">
        <v>129</v>
      </c>
      <c r="AJ154" t="s">
        <v>103</v>
      </c>
      <c r="AK154" t="s">
        <v>103</v>
      </c>
      <c r="AL154" t="s">
        <v>116</v>
      </c>
      <c r="AM154" t="s">
        <v>116</v>
      </c>
      <c r="AN154">
        <v>53</v>
      </c>
      <c r="AO154">
        <v>59</v>
      </c>
      <c r="AP154">
        <v>76</v>
      </c>
      <c r="AQ154">
        <v>72</v>
      </c>
      <c r="AR154">
        <v>87</v>
      </c>
      <c r="AS154">
        <v>78</v>
      </c>
      <c r="AT154">
        <v>65</v>
      </c>
      <c r="AU154">
        <v>57</v>
      </c>
      <c r="AV154">
        <v>86</v>
      </c>
      <c r="AW154">
        <v>81</v>
      </c>
      <c r="AX154">
        <v>64</v>
      </c>
      <c r="AY154">
        <v>69</v>
      </c>
      <c r="AZ154">
        <v>66</v>
      </c>
      <c r="BA154">
        <v>53</v>
      </c>
      <c r="BB154">
        <v>85</v>
      </c>
      <c r="BC154">
        <v>78</v>
      </c>
      <c r="BD154">
        <v>45</v>
      </c>
      <c r="BE154">
        <v>60</v>
      </c>
      <c r="BF154">
        <v>60</v>
      </c>
      <c r="BG154">
        <v>86</v>
      </c>
      <c r="BH154">
        <v>62</v>
      </c>
      <c r="BI154">
        <v>71</v>
      </c>
      <c r="BJ154">
        <v>70</v>
      </c>
      <c r="BK154">
        <v>66</v>
      </c>
      <c r="BL154">
        <v>87</v>
      </c>
      <c r="BM154">
        <v>49</v>
      </c>
      <c r="BN154">
        <v>71</v>
      </c>
      <c r="BO154">
        <v>87</v>
      </c>
      <c r="BP154">
        <v>57</v>
      </c>
      <c r="BQ154">
        <v>80</v>
      </c>
      <c r="BR154">
        <v>68</v>
      </c>
      <c r="BS154">
        <v>89</v>
      </c>
      <c r="BT154">
        <v>88</v>
      </c>
      <c r="BU154">
        <v>86</v>
      </c>
      <c r="BV154">
        <v>85</v>
      </c>
      <c r="BW154">
        <v>15</v>
      </c>
      <c r="BX154">
        <v>6</v>
      </c>
      <c r="BY154">
        <v>10</v>
      </c>
      <c r="BZ154">
        <v>5</v>
      </c>
      <c r="CA154">
        <v>6</v>
      </c>
      <c r="CB154">
        <v>72</v>
      </c>
      <c r="CC154">
        <v>67</v>
      </c>
      <c r="CD154">
        <v>69</v>
      </c>
      <c r="CE154">
        <v>69</v>
      </c>
      <c r="CF154">
        <v>69</v>
      </c>
      <c r="CG154">
        <v>67</v>
      </c>
      <c r="CH154">
        <v>74</v>
      </c>
      <c r="CI154">
        <v>73</v>
      </c>
      <c r="CJ154">
        <v>80</v>
      </c>
      <c r="CK154">
        <v>73</v>
      </c>
      <c r="CL154">
        <v>80</v>
      </c>
      <c r="CM154">
        <v>84</v>
      </c>
      <c r="CN154">
        <v>80</v>
      </c>
      <c r="CO154">
        <v>81</v>
      </c>
      <c r="CP154">
        <v>84</v>
      </c>
      <c r="CQ154">
        <v>81</v>
      </c>
      <c r="CR154">
        <v>20</v>
      </c>
    </row>
    <row r="155" spans="1:96">
      <c r="A155">
        <v>154</v>
      </c>
      <c r="B155" t="s">
        <v>821</v>
      </c>
      <c r="C155" t="s">
        <v>734</v>
      </c>
      <c r="D155" t="s">
        <v>419</v>
      </c>
      <c r="E155" t="s">
        <v>118</v>
      </c>
      <c r="F155">
        <v>84</v>
      </c>
      <c r="G155">
        <v>30</v>
      </c>
      <c r="H155" t="s">
        <v>822</v>
      </c>
      <c r="I155" t="s">
        <v>823</v>
      </c>
      <c r="J155">
        <v>84</v>
      </c>
      <c r="K155">
        <v>89</v>
      </c>
      <c r="L155">
        <v>57500000</v>
      </c>
      <c r="M155" t="s">
        <v>419</v>
      </c>
      <c r="N155" t="s">
        <v>419</v>
      </c>
      <c r="O155" t="s">
        <v>112</v>
      </c>
      <c r="P155" t="s">
        <v>824</v>
      </c>
      <c r="Q155">
        <v>24</v>
      </c>
      <c r="R155">
        <v>186</v>
      </c>
      <c r="S155">
        <v>78</v>
      </c>
      <c r="T155">
        <v>2043</v>
      </c>
      <c r="U155">
        <v>445</v>
      </c>
      <c r="V155" t="s">
        <v>123</v>
      </c>
      <c r="W155">
        <v>160000</v>
      </c>
      <c r="X155">
        <v>122200000</v>
      </c>
      <c r="Y155" t="s">
        <v>114</v>
      </c>
      <c r="Z155">
        <v>2025</v>
      </c>
      <c r="AA155">
        <v>3</v>
      </c>
      <c r="AB155">
        <v>2019</v>
      </c>
      <c r="AC155" t="s">
        <v>103</v>
      </c>
      <c r="AD155" t="s">
        <v>104</v>
      </c>
      <c r="AE155">
        <v>3</v>
      </c>
      <c r="AF155">
        <v>2</v>
      </c>
      <c r="AG155">
        <v>2</v>
      </c>
      <c r="AH155" t="s">
        <v>103</v>
      </c>
      <c r="AI155" t="s">
        <v>115</v>
      </c>
      <c r="AJ155" t="s">
        <v>103</v>
      </c>
      <c r="AK155" t="s">
        <v>103</v>
      </c>
      <c r="AL155" t="s">
        <v>116</v>
      </c>
      <c r="AM155" t="s">
        <v>116</v>
      </c>
      <c r="AN155">
        <v>86</v>
      </c>
      <c r="AO155">
        <v>50</v>
      </c>
      <c r="AP155">
        <v>70</v>
      </c>
      <c r="AQ155">
        <v>72</v>
      </c>
      <c r="AR155">
        <v>85</v>
      </c>
      <c r="AS155">
        <v>82</v>
      </c>
      <c r="AT155">
        <v>69</v>
      </c>
      <c r="AU155">
        <v>48</v>
      </c>
      <c r="AV155">
        <v>82</v>
      </c>
      <c r="AW155">
        <v>79</v>
      </c>
      <c r="AX155">
        <v>34</v>
      </c>
      <c r="AY155">
        <v>70</v>
      </c>
      <c r="AZ155">
        <v>60</v>
      </c>
      <c r="BA155">
        <v>40</v>
      </c>
      <c r="BB155">
        <v>76</v>
      </c>
      <c r="BC155">
        <v>74</v>
      </c>
      <c r="BD155">
        <v>83</v>
      </c>
      <c r="BE155">
        <v>88</v>
      </c>
      <c r="BF155">
        <v>70</v>
      </c>
      <c r="BG155">
        <v>85</v>
      </c>
      <c r="BH155">
        <v>62</v>
      </c>
      <c r="BI155">
        <v>62</v>
      </c>
      <c r="BJ155">
        <v>85</v>
      </c>
      <c r="BK155">
        <v>86</v>
      </c>
      <c r="BL155">
        <v>79</v>
      </c>
      <c r="BM155">
        <v>42</v>
      </c>
      <c r="BN155">
        <v>84</v>
      </c>
      <c r="BO155">
        <v>86</v>
      </c>
      <c r="BP155">
        <v>64</v>
      </c>
      <c r="BQ155">
        <v>59</v>
      </c>
      <c r="BR155">
        <v>60</v>
      </c>
      <c r="BS155">
        <v>74</v>
      </c>
      <c r="BT155">
        <v>85</v>
      </c>
      <c r="BU155">
        <v>86</v>
      </c>
      <c r="BV155">
        <v>84</v>
      </c>
      <c r="BW155">
        <v>11</v>
      </c>
      <c r="BX155">
        <v>8</v>
      </c>
      <c r="BY155">
        <v>15</v>
      </c>
      <c r="BZ155">
        <v>12</v>
      </c>
      <c r="CA155">
        <v>15</v>
      </c>
      <c r="CB155">
        <v>70</v>
      </c>
      <c r="CC155">
        <v>70</v>
      </c>
      <c r="CD155">
        <v>69</v>
      </c>
      <c r="CE155">
        <v>69</v>
      </c>
      <c r="CF155">
        <v>69</v>
      </c>
      <c r="CG155">
        <v>70</v>
      </c>
      <c r="CH155">
        <v>71</v>
      </c>
      <c r="CI155">
        <v>75</v>
      </c>
      <c r="CJ155">
        <v>75</v>
      </c>
      <c r="CK155">
        <v>75</v>
      </c>
      <c r="CL155">
        <v>83</v>
      </c>
      <c r="CM155">
        <v>83</v>
      </c>
      <c r="CN155">
        <v>83</v>
      </c>
      <c r="CO155">
        <v>85</v>
      </c>
      <c r="CP155">
        <v>86</v>
      </c>
      <c r="CQ155">
        <v>85</v>
      </c>
      <c r="CR155">
        <v>22</v>
      </c>
    </row>
    <row r="156" spans="1:96">
      <c r="A156">
        <v>155</v>
      </c>
      <c r="B156" t="s">
        <v>825</v>
      </c>
      <c r="C156" t="s">
        <v>734</v>
      </c>
      <c r="D156" t="s">
        <v>419</v>
      </c>
      <c r="E156" t="s">
        <v>140</v>
      </c>
      <c r="F156">
        <v>84</v>
      </c>
      <c r="G156">
        <v>30</v>
      </c>
      <c r="H156" t="s">
        <v>826</v>
      </c>
      <c r="I156" t="s">
        <v>827</v>
      </c>
      <c r="J156">
        <v>84</v>
      </c>
      <c r="K156">
        <v>89</v>
      </c>
      <c r="L156">
        <v>57500000</v>
      </c>
      <c r="M156" t="s">
        <v>786</v>
      </c>
      <c r="N156" t="s">
        <v>419</v>
      </c>
      <c r="O156" t="s">
        <v>319</v>
      </c>
      <c r="P156" t="s">
        <v>828</v>
      </c>
      <c r="Q156">
        <v>23</v>
      </c>
      <c r="R156">
        <v>181</v>
      </c>
      <c r="S156">
        <v>75</v>
      </c>
      <c r="T156">
        <v>1926</v>
      </c>
      <c r="U156">
        <v>430</v>
      </c>
      <c r="V156" t="s">
        <v>144</v>
      </c>
      <c r="W156">
        <v>150000</v>
      </c>
      <c r="X156">
        <v>122200000</v>
      </c>
      <c r="Y156" t="s">
        <v>749</v>
      </c>
      <c r="Z156">
        <v>2027</v>
      </c>
      <c r="AA156">
        <v>23</v>
      </c>
      <c r="AB156">
        <v>2022</v>
      </c>
      <c r="AC156" t="s">
        <v>103</v>
      </c>
      <c r="AD156" t="s">
        <v>104</v>
      </c>
      <c r="AE156">
        <v>3</v>
      </c>
      <c r="AF156">
        <v>2</v>
      </c>
      <c r="AG156">
        <v>2</v>
      </c>
      <c r="AH156" t="s">
        <v>319</v>
      </c>
      <c r="AI156" t="s">
        <v>321</v>
      </c>
      <c r="AJ156" t="s">
        <v>114</v>
      </c>
      <c r="AK156">
        <v>5</v>
      </c>
      <c r="AL156" t="s">
        <v>107</v>
      </c>
      <c r="AM156" t="s">
        <v>107</v>
      </c>
      <c r="AN156">
        <v>84</v>
      </c>
      <c r="AO156">
        <v>45</v>
      </c>
      <c r="AP156">
        <v>64</v>
      </c>
      <c r="AQ156">
        <v>74</v>
      </c>
      <c r="AR156">
        <v>85</v>
      </c>
      <c r="AS156">
        <v>78</v>
      </c>
      <c r="AT156">
        <v>45</v>
      </c>
      <c r="AU156">
        <v>47</v>
      </c>
      <c r="AV156">
        <v>80</v>
      </c>
      <c r="AW156">
        <v>81</v>
      </c>
      <c r="AX156">
        <v>32</v>
      </c>
      <c r="AY156">
        <v>72</v>
      </c>
      <c r="AZ156">
        <v>42</v>
      </c>
      <c r="BA156">
        <v>26</v>
      </c>
      <c r="BB156">
        <v>75</v>
      </c>
      <c r="BC156">
        <v>74</v>
      </c>
      <c r="BD156">
        <v>85</v>
      </c>
      <c r="BE156">
        <v>83</v>
      </c>
      <c r="BF156">
        <v>71</v>
      </c>
      <c r="BG156">
        <v>85</v>
      </c>
      <c r="BH156">
        <v>74</v>
      </c>
      <c r="BI156">
        <v>48</v>
      </c>
      <c r="BJ156">
        <v>88</v>
      </c>
      <c r="BK156">
        <v>76</v>
      </c>
      <c r="BL156">
        <v>80</v>
      </c>
      <c r="BM156">
        <v>40</v>
      </c>
      <c r="BN156">
        <v>75</v>
      </c>
      <c r="BO156">
        <v>86</v>
      </c>
      <c r="BP156">
        <v>47</v>
      </c>
      <c r="BQ156">
        <v>62</v>
      </c>
      <c r="BR156">
        <v>43</v>
      </c>
      <c r="BS156">
        <v>82</v>
      </c>
      <c r="BT156">
        <v>85</v>
      </c>
      <c r="BU156">
        <v>85</v>
      </c>
      <c r="BV156">
        <v>83</v>
      </c>
      <c r="BW156">
        <v>11</v>
      </c>
      <c r="BX156">
        <v>10</v>
      </c>
      <c r="BY156">
        <v>8</v>
      </c>
      <c r="BZ156">
        <v>14</v>
      </c>
      <c r="CA156">
        <v>13</v>
      </c>
      <c r="CB156">
        <v>66</v>
      </c>
      <c r="CC156">
        <v>66</v>
      </c>
      <c r="CD156">
        <v>66</v>
      </c>
      <c r="CE156">
        <v>66</v>
      </c>
      <c r="CF156">
        <v>66</v>
      </c>
      <c r="CG156">
        <v>66</v>
      </c>
      <c r="CH156">
        <v>71</v>
      </c>
      <c r="CI156">
        <v>71</v>
      </c>
      <c r="CJ156">
        <v>74</v>
      </c>
      <c r="CK156">
        <v>71</v>
      </c>
      <c r="CL156">
        <v>79</v>
      </c>
      <c r="CM156">
        <v>82</v>
      </c>
      <c r="CN156">
        <v>79</v>
      </c>
      <c r="CO156">
        <v>81</v>
      </c>
      <c r="CP156">
        <v>85</v>
      </c>
      <c r="CQ156">
        <v>81</v>
      </c>
      <c r="CR156">
        <v>22</v>
      </c>
    </row>
    <row r="157" spans="1:96">
      <c r="A157">
        <v>156</v>
      </c>
      <c r="B157" t="s">
        <v>829</v>
      </c>
      <c r="C157" t="s">
        <v>734</v>
      </c>
      <c r="D157" t="s">
        <v>753</v>
      </c>
      <c r="E157" t="s">
        <v>426</v>
      </c>
      <c r="F157">
        <v>84</v>
      </c>
      <c r="G157">
        <v>30</v>
      </c>
      <c r="H157" t="s">
        <v>830</v>
      </c>
      <c r="I157" t="s">
        <v>829</v>
      </c>
      <c r="J157">
        <v>84</v>
      </c>
      <c r="K157">
        <v>89</v>
      </c>
      <c r="L157">
        <v>60500000</v>
      </c>
      <c r="M157" t="s">
        <v>831</v>
      </c>
      <c r="N157" t="s">
        <v>291</v>
      </c>
      <c r="O157" t="s">
        <v>832</v>
      </c>
      <c r="P157" t="s">
        <v>833</v>
      </c>
      <c r="Q157">
        <v>21</v>
      </c>
      <c r="R157">
        <v>185</v>
      </c>
      <c r="S157">
        <v>77</v>
      </c>
      <c r="T157">
        <v>2170</v>
      </c>
      <c r="U157">
        <v>475</v>
      </c>
      <c r="V157" t="s">
        <v>151</v>
      </c>
      <c r="W157">
        <v>59000</v>
      </c>
      <c r="X157">
        <v>104400000</v>
      </c>
      <c r="Y157" t="s">
        <v>753</v>
      </c>
      <c r="Z157">
        <v>2025</v>
      </c>
      <c r="AA157">
        <v>19</v>
      </c>
      <c r="AB157">
        <v>2019</v>
      </c>
      <c r="AC157" t="s">
        <v>103</v>
      </c>
      <c r="AD157" t="s">
        <v>137</v>
      </c>
      <c r="AE157">
        <v>4</v>
      </c>
      <c r="AF157">
        <v>4</v>
      </c>
      <c r="AG157">
        <v>3</v>
      </c>
      <c r="AH157" t="s">
        <v>832</v>
      </c>
      <c r="AI157" t="s">
        <v>834</v>
      </c>
      <c r="AJ157" t="s">
        <v>311</v>
      </c>
      <c r="AK157">
        <v>19</v>
      </c>
      <c r="AL157" t="s">
        <v>107</v>
      </c>
      <c r="AM157" t="s">
        <v>406</v>
      </c>
      <c r="AN157">
        <v>94</v>
      </c>
      <c r="AO157">
        <v>66</v>
      </c>
      <c r="AP157">
        <v>77</v>
      </c>
      <c r="AQ157">
        <v>85</v>
      </c>
      <c r="AR157">
        <v>76</v>
      </c>
      <c r="AS157">
        <v>77</v>
      </c>
      <c r="AT157">
        <v>85</v>
      </c>
      <c r="AU157">
        <v>64</v>
      </c>
      <c r="AV157">
        <v>72</v>
      </c>
      <c r="AW157">
        <v>82</v>
      </c>
      <c r="AX157">
        <v>59</v>
      </c>
      <c r="AY157">
        <v>87</v>
      </c>
      <c r="AZ157">
        <v>72</v>
      </c>
      <c r="BA157">
        <v>44</v>
      </c>
      <c r="BB157">
        <v>67</v>
      </c>
      <c r="BC157">
        <v>84</v>
      </c>
      <c r="BD157">
        <v>96</v>
      </c>
      <c r="BE157">
        <v>93</v>
      </c>
      <c r="BF157">
        <v>86</v>
      </c>
      <c r="BG157">
        <v>84</v>
      </c>
      <c r="BH157">
        <v>84</v>
      </c>
      <c r="BI157">
        <v>74</v>
      </c>
      <c r="BJ157">
        <v>78</v>
      </c>
      <c r="BK157">
        <v>81</v>
      </c>
      <c r="BL157">
        <v>75</v>
      </c>
      <c r="BM157">
        <v>63</v>
      </c>
      <c r="BN157">
        <v>77</v>
      </c>
      <c r="BO157">
        <v>78</v>
      </c>
      <c r="BP157">
        <v>77</v>
      </c>
      <c r="BQ157">
        <v>77</v>
      </c>
      <c r="BR157">
        <v>60</v>
      </c>
      <c r="BS157">
        <v>78</v>
      </c>
      <c r="BT157">
        <v>76</v>
      </c>
      <c r="BU157">
        <v>77</v>
      </c>
      <c r="BV157">
        <v>71</v>
      </c>
      <c r="BW157">
        <v>11</v>
      </c>
      <c r="BX157">
        <v>11</v>
      </c>
      <c r="BY157">
        <v>6</v>
      </c>
      <c r="BZ157">
        <v>5</v>
      </c>
      <c r="CA157">
        <v>14</v>
      </c>
      <c r="CB157">
        <v>80</v>
      </c>
      <c r="CC157">
        <v>82</v>
      </c>
      <c r="CD157">
        <v>80</v>
      </c>
      <c r="CE157">
        <v>80</v>
      </c>
      <c r="CF157">
        <v>80</v>
      </c>
      <c r="CG157">
        <v>82</v>
      </c>
      <c r="CH157">
        <v>83</v>
      </c>
      <c r="CI157">
        <v>85</v>
      </c>
      <c r="CJ157">
        <v>81</v>
      </c>
      <c r="CK157">
        <v>85</v>
      </c>
      <c r="CL157">
        <v>84</v>
      </c>
      <c r="CM157">
        <v>81</v>
      </c>
      <c r="CN157">
        <v>84</v>
      </c>
      <c r="CO157">
        <v>84</v>
      </c>
      <c r="CP157">
        <v>80</v>
      </c>
      <c r="CQ157">
        <v>84</v>
      </c>
      <c r="CR157">
        <v>21</v>
      </c>
    </row>
    <row r="158" spans="1:96">
      <c r="A158">
        <v>157</v>
      </c>
      <c r="B158" t="s">
        <v>835</v>
      </c>
      <c r="C158" t="s">
        <v>734</v>
      </c>
      <c r="D158" t="s">
        <v>749</v>
      </c>
      <c r="E158" t="s">
        <v>153</v>
      </c>
      <c r="F158">
        <v>84</v>
      </c>
      <c r="G158">
        <v>30</v>
      </c>
      <c r="H158" t="s">
        <v>836</v>
      </c>
      <c r="I158" t="s">
        <v>837</v>
      </c>
      <c r="J158">
        <v>84</v>
      </c>
      <c r="K158">
        <v>87</v>
      </c>
      <c r="L158">
        <v>53500000</v>
      </c>
      <c r="M158" t="s">
        <v>838</v>
      </c>
      <c r="N158" t="s">
        <v>749</v>
      </c>
      <c r="O158" t="s">
        <v>510</v>
      </c>
      <c r="P158" t="s">
        <v>839</v>
      </c>
      <c r="Q158">
        <v>23</v>
      </c>
      <c r="R158">
        <v>181</v>
      </c>
      <c r="S158">
        <v>73</v>
      </c>
      <c r="T158">
        <v>2229</v>
      </c>
      <c r="U158">
        <v>479</v>
      </c>
      <c r="V158" t="s">
        <v>158</v>
      </c>
      <c r="W158">
        <v>90000</v>
      </c>
      <c r="X158">
        <v>103000000</v>
      </c>
      <c r="Y158" t="s">
        <v>840</v>
      </c>
      <c r="Z158">
        <v>2026</v>
      </c>
      <c r="AA158">
        <v>2</v>
      </c>
      <c r="AB158">
        <v>2021</v>
      </c>
      <c r="AC158" t="s">
        <v>103</v>
      </c>
      <c r="AD158" t="s">
        <v>104</v>
      </c>
      <c r="AE158">
        <v>4</v>
      </c>
      <c r="AF158">
        <v>4</v>
      </c>
      <c r="AG158">
        <v>2</v>
      </c>
      <c r="AH158" t="s">
        <v>510</v>
      </c>
      <c r="AI158" t="s">
        <v>512</v>
      </c>
      <c r="AJ158" t="s">
        <v>749</v>
      </c>
      <c r="AK158">
        <v>2</v>
      </c>
      <c r="AL158" t="s">
        <v>107</v>
      </c>
      <c r="AM158" t="s">
        <v>116</v>
      </c>
      <c r="AN158">
        <v>92</v>
      </c>
      <c r="AO158">
        <v>75</v>
      </c>
      <c r="AP158">
        <v>79</v>
      </c>
      <c r="AQ158">
        <v>80</v>
      </c>
      <c r="AR158">
        <v>75</v>
      </c>
      <c r="AS158">
        <v>78</v>
      </c>
      <c r="AT158">
        <v>84</v>
      </c>
      <c r="AU158">
        <v>75</v>
      </c>
      <c r="AV158">
        <v>68</v>
      </c>
      <c r="AW158">
        <v>81</v>
      </c>
      <c r="AX158">
        <v>74</v>
      </c>
      <c r="AY158">
        <v>79</v>
      </c>
      <c r="AZ158">
        <v>77</v>
      </c>
      <c r="BA158">
        <v>74</v>
      </c>
      <c r="BB158">
        <v>73</v>
      </c>
      <c r="BC158">
        <v>82</v>
      </c>
      <c r="BD158">
        <v>91</v>
      </c>
      <c r="BE158">
        <v>93</v>
      </c>
      <c r="BF158">
        <v>82</v>
      </c>
      <c r="BG158">
        <v>81</v>
      </c>
      <c r="BH158">
        <v>78</v>
      </c>
      <c r="BI158">
        <v>80</v>
      </c>
      <c r="BJ158">
        <v>79</v>
      </c>
      <c r="BK158">
        <v>92</v>
      </c>
      <c r="BL158">
        <v>72</v>
      </c>
      <c r="BM158">
        <v>73</v>
      </c>
      <c r="BN158">
        <v>75</v>
      </c>
      <c r="BO158">
        <v>78</v>
      </c>
      <c r="BP158">
        <v>78</v>
      </c>
      <c r="BQ158">
        <v>77</v>
      </c>
      <c r="BR158">
        <v>60</v>
      </c>
      <c r="BS158">
        <v>72</v>
      </c>
      <c r="BT158">
        <v>75</v>
      </c>
      <c r="BU158">
        <v>76</v>
      </c>
      <c r="BV158">
        <v>76</v>
      </c>
      <c r="BW158">
        <v>10</v>
      </c>
      <c r="BX158">
        <v>8</v>
      </c>
      <c r="BY158">
        <v>14</v>
      </c>
      <c r="BZ158">
        <v>6</v>
      </c>
      <c r="CA158">
        <v>8</v>
      </c>
      <c r="CB158">
        <v>80</v>
      </c>
      <c r="CC158">
        <v>81</v>
      </c>
      <c r="CD158">
        <v>80</v>
      </c>
      <c r="CE158">
        <v>80</v>
      </c>
      <c r="CF158">
        <v>80</v>
      </c>
      <c r="CG158">
        <v>81</v>
      </c>
      <c r="CH158">
        <v>82</v>
      </c>
      <c r="CI158">
        <v>84</v>
      </c>
      <c r="CJ158">
        <v>81</v>
      </c>
      <c r="CK158">
        <v>84</v>
      </c>
      <c r="CL158">
        <v>84</v>
      </c>
      <c r="CM158">
        <v>80</v>
      </c>
      <c r="CN158">
        <v>84</v>
      </c>
      <c r="CO158">
        <v>83</v>
      </c>
      <c r="CP158">
        <v>78</v>
      </c>
      <c r="CQ158">
        <v>83</v>
      </c>
      <c r="CR158">
        <v>18</v>
      </c>
    </row>
    <row r="159" spans="1:96">
      <c r="A159">
        <v>158</v>
      </c>
      <c r="B159" t="s">
        <v>841</v>
      </c>
      <c r="C159" t="s">
        <v>734</v>
      </c>
      <c r="D159" t="s">
        <v>419</v>
      </c>
      <c r="E159" t="s">
        <v>184</v>
      </c>
      <c r="F159">
        <v>84</v>
      </c>
      <c r="G159">
        <v>30</v>
      </c>
      <c r="H159" t="s">
        <v>842</v>
      </c>
      <c r="I159" t="s">
        <v>841</v>
      </c>
      <c r="J159">
        <v>84</v>
      </c>
      <c r="K159">
        <v>90</v>
      </c>
      <c r="L159">
        <v>60500000</v>
      </c>
      <c r="M159" t="s">
        <v>419</v>
      </c>
      <c r="N159" t="s">
        <v>419</v>
      </c>
      <c r="O159" t="s">
        <v>156</v>
      </c>
      <c r="P159" t="s">
        <v>843</v>
      </c>
      <c r="Q159">
        <v>23</v>
      </c>
      <c r="R159">
        <v>190</v>
      </c>
      <c r="S159">
        <v>75</v>
      </c>
      <c r="T159">
        <v>1890</v>
      </c>
      <c r="U159">
        <v>416</v>
      </c>
      <c r="V159" t="s">
        <v>187</v>
      </c>
      <c r="W159">
        <v>75000</v>
      </c>
      <c r="X159">
        <v>111900000</v>
      </c>
      <c r="Y159" t="s">
        <v>419</v>
      </c>
      <c r="Z159">
        <v>2024</v>
      </c>
      <c r="AA159">
        <v>95</v>
      </c>
      <c r="AB159">
        <v>2017</v>
      </c>
      <c r="AC159" t="s">
        <v>103</v>
      </c>
      <c r="AD159" t="s">
        <v>137</v>
      </c>
      <c r="AE159">
        <v>3</v>
      </c>
      <c r="AF159">
        <v>2</v>
      </c>
      <c r="AG159">
        <v>1</v>
      </c>
      <c r="AH159" t="s">
        <v>156</v>
      </c>
      <c r="AI159" t="s">
        <v>159</v>
      </c>
      <c r="AJ159" t="s">
        <v>419</v>
      </c>
      <c r="AK159">
        <v>23</v>
      </c>
      <c r="AL159" t="s">
        <v>116</v>
      </c>
      <c r="AM159" t="s">
        <v>107</v>
      </c>
      <c r="AN159">
        <v>73</v>
      </c>
      <c r="AO159">
        <v>35</v>
      </c>
      <c r="AP159">
        <v>69</v>
      </c>
      <c r="AQ159">
        <v>71</v>
      </c>
      <c r="AR159">
        <v>86</v>
      </c>
      <c r="AS159">
        <v>82</v>
      </c>
      <c r="AT159">
        <v>70</v>
      </c>
      <c r="AU159">
        <v>26</v>
      </c>
      <c r="AV159">
        <v>82</v>
      </c>
      <c r="AW159">
        <v>78</v>
      </c>
      <c r="AX159">
        <v>35</v>
      </c>
      <c r="AY159">
        <v>70</v>
      </c>
      <c r="AZ159">
        <v>53</v>
      </c>
      <c r="BA159">
        <v>36</v>
      </c>
      <c r="BB159">
        <v>78</v>
      </c>
      <c r="BC159">
        <v>76</v>
      </c>
      <c r="BD159">
        <v>68</v>
      </c>
      <c r="BE159">
        <v>77</v>
      </c>
      <c r="BF159">
        <v>58</v>
      </c>
      <c r="BG159">
        <v>86</v>
      </c>
      <c r="BH159">
        <v>57</v>
      </c>
      <c r="BI159">
        <v>49</v>
      </c>
      <c r="BJ159">
        <v>75</v>
      </c>
      <c r="BK159">
        <v>81</v>
      </c>
      <c r="BL159">
        <v>82</v>
      </c>
      <c r="BM159">
        <v>37</v>
      </c>
      <c r="BN159">
        <v>84</v>
      </c>
      <c r="BO159">
        <v>85</v>
      </c>
      <c r="BP159">
        <v>39</v>
      </c>
      <c r="BQ159">
        <v>57</v>
      </c>
      <c r="BR159">
        <v>47</v>
      </c>
      <c r="BS159">
        <v>82</v>
      </c>
      <c r="BT159">
        <v>87</v>
      </c>
      <c r="BU159">
        <v>87</v>
      </c>
      <c r="BV159">
        <v>82</v>
      </c>
      <c r="BW159">
        <v>11</v>
      </c>
      <c r="BX159">
        <v>5</v>
      </c>
      <c r="BY159">
        <v>9</v>
      </c>
      <c r="BZ159">
        <v>11</v>
      </c>
      <c r="CA159">
        <v>12</v>
      </c>
      <c r="CB159">
        <v>61</v>
      </c>
      <c r="CC159">
        <v>63</v>
      </c>
      <c r="CD159">
        <v>61</v>
      </c>
      <c r="CE159">
        <v>61</v>
      </c>
      <c r="CF159">
        <v>61</v>
      </c>
      <c r="CG159">
        <v>63</v>
      </c>
      <c r="CH159">
        <v>66</v>
      </c>
      <c r="CI159">
        <v>70</v>
      </c>
      <c r="CJ159">
        <v>73</v>
      </c>
      <c r="CK159">
        <v>70</v>
      </c>
      <c r="CL159">
        <v>82</v>
      </c>
      <c r="CM159">
        <v>83</v>
      </c>
      <c r="CN159">
        <v>82</v>
      </c>
      <c r="CO159">
        <v>83</v>
      </c>
      <c r="CP159">
        <v>86</v>
      </c>
      <c r="CQ159">
        <v>83</v>
      </c>
      <c r="CR159">
        <v>20</v>
      </c>
    </row>
    <row r="160" spans="1:96">
      <c r="A160">
        <v>159</v>
      </c>
      <c r="B160" t="s">
        <v>844</v>
      </c>
      <c r="C160" t="s">
        <v>734</v>
      </c>
      <c r="D160" t="s">
        <v>749</v>
      </c>
      <c r="E160" t="s">
        <v>220</v>
      </c>
      <c r="F160">
        <v>84</v>
      </c>
      <c r="G160">
        <v>30</v>
      </c>
      <c r="H160" t="s">
        <v>845</v>
      </c>
      <c r="I160" t="s">
        <v>844</v>
      </c>
      <c r="J160">
        <v>84</v>
      </c>
      <c r="K160">
        <v>88</v>
      </c>
      <c r="L160">
        <v>57000000</v>
      </c>
      <c r="M160" t="s">
        <v>846</v>
      </c>
      <c r="N160" t="s">
        <v>840</v>
      </c>
      <c r="O160" t="s">
        <v>167</v>
      </c>
      <c r="P160" t="s">
        <v>847</v>
      </c>
      <c r="Q160">
        <v>22</v>
      </c>
      <c r="R160">
        <v>178</v>
      </c>
      <c r="S160">
        <v>87</v>
      </c>
      <c r="T160">
        <v>2225</v>
      </c>
      <c r="U160">
        <v>477</v>
      </c>
      <c r="V160" t="s">
        <v>220</v>
      </c>
      <c r="W160">
        <v>120000</v>
      </c>
      <c r="X160">
        <v>109700000</v>
      </c>
      <c r="Y160" t="s">
        <v>840</v>
      </c>
      <c r="Z160">
        <v>2025</v>
      </c>
      <c r="AA160">
        <v>24</v>
      </c>
      <c r="AB160">
        <v>2017</v>
      </c>
      <c r="AC160" t="s">
        <v>103</v>
      </c>
      <c r="AD160" t="s">
        <v>104</v>
      </c>
      <c r="AE160">
        <v>3</v>
      </c>
      <c r="AF160">
        <v>3</v>
      </c>
      <c r="AG160">
        <v>2</v>
      </c>
      <c r="AH160" t="s">
        <v>167</v>
      </c>
      <c r="AI160" t="s">
        <v>170</v>
      </c>
      <c r="AJ160" t="s">
        <v>114</v>
      </c>
      <c r="AK160">
        <v>3</v>
      </c>
      <c r="AL160" t="s">
        <v>107</v>
      </c>
      <c r="AM160" t="s">
        <v>116</v>
      </c>
      <c r="AN160">
        <v>81</v>
      </c>
      <c r="AO160">
        <v>70</v>
      </c>
      <c r="AP160">
        <v>82</v>
      </c>
      <c r="AQ160">
        <v>82</v>
      </c>
      <c r="AR160">
        <v>80</v>
      </c>
      <c r="AS160">
        <v>82</v>
      </c>
      <c r="AT160">
        <v>88</v>
      </c>
      <c r="AU160">
        <v>66</v>
      </c>
      <c r="AV160">
        <v>71</v>
      </c>
      <c r="AW160">
        <v>82</v>
      </c>
      <c r="AX160">
        <v>62</v>
      </c>
      <c r="AY160">
        <v>83</v>
      </c>
      <c r="AZ160">
        <v>82</v>
      </c>
      <c r="BA160">
        <v>76</v>
      </c>
      <c r="BB160">
        <v>78</v>
      </c>
      <c r="BC160">
        <v>81</v>
      </c>
      <c r="BD160">
        <v>79</v>
      </c>
      <c r="BE160">
        <v>83</v>
      </c>
      <c r="BF160">
        <v>75</v>
      </c>
      <c r="BG160">
        <v>81</v>
      </c>
      <c r="BH160">
        <v>88</v>
      </c>
      <c r="BI160">
        <v>83</v>
      </c>
      <c r="BJ160">
        <v>75</v>
      </c>
      <c r="BK160">
        <v>83</v>
      </c>
      <c r="BL160">
        <v>85</v>
      </c>
      <c r="BM160">
        <v>69</v>
      </c>
      <c r="BN160">
        <v>74</v>
      </c>
      <c r="BO160">
        <v>78</v>
      </c>
      <c r="BP160">
        <v>77</v>
      </c>
      <c r="BQ160">
        <v>80</v>
      </c>
      <c r="BR160">
        <v>52</v>
      </c>
      <c r="BS160">
        <v>82</v>
      </c>
      <c r="BT160">
        <v>81</v>
      </c>
      <c r="BU160">
        <v>83</v>
      </c>
      <c r="BV160">
        <v>79</v>
      </c>
      <c r="BW160">
        <v>8</v>
      </c>
      <c r="BX160">
        <v>12</v>
      </c>
      <c r="BY160">
        <v>7</v>
      </c>
      <c r="BZ160">
        <v>13</v>
      </c>
      <c r="CA160">
        <v>11</v>
      </c>
      <c r="CB160">
        <v>79</v>
      </c>
      <c r="CC160">
        <v>79</v>
      </c>
      <c r="CD160">
        <v>79</v>
      </c>
      <c r="CE160">
        <v>79</v>
      </c>
      <c r="CF160">
        <v>79</v>
      </c>
      <c r="CG160">
        <v>79</v>
      </c>
      <c r="CH160">
        <v>81</v>
      </c>
      <c r="CI160">
        <v>83</v>
      </c>
      <c r="CJ160">
        <v>82</v>
      </c>
      <c r="CK160">
        <v>83</v>
      </c>
      <c r="CL160">
        <v>84</v>
      </c>
      <c r="CM160">
        <v>82</v>
      </c>
      <c r="CN160">
        <v>84</v>
      </c>
      <c r="CO160">
        <v>83</v>
      </c>
      <c r="CP160">
        <v>82</v>
      </c>
      <c r="CQ160">
        <v>83</v>
      </c>
      <c r="CR160">
        <v>20</v>
      </c>
    </row>
    <row r="161" spans="1:96">
      <c r="A161">
        <v>160</v>
      </c>
      <c r="B161" t="s">
        <v>848</v>
      </c>
      <c r="C161" t="s">
        <v>734</v>
      </c>
      <c r="D161" t="s">
        <v>419</v>
      </c>
      <c r="E161" t="s">
        <v>217</v>
      </c>
      <c r="F161">
        <v>84</v>
      </c>
      <c r="G161">
        <v>30</v>
      </c>
      <c r="H161" t="s">
        <v>848</v>
      </c>
      <c r="I161" t="s">
        <v>849</v>
      </c>
      <c r="J161">
        <v>81</v>
      </c>
      <c r="K161">
        <v>87</v>
      </c>
      <c r="L161">
        <v>37000000</v>
      </c>
      <c r="M161" t="s">
        <v>419</v>
      </c>
      <c r="N161" t="s">
        <v>419</v>
      </c>
      <c r="O161" t="s">
        <v>112</v>
      </c>
      <c r="P161" t="s">
        <v>850</v>
      </c>
      <c r="Q161">
        <v>24</v>
      </c>
      <c r="R161">
        <v>190</v>
      </c>
      <c r="S161">
        <v>87</v>
      </c>
      <c r="T161">
        <v>1728</v>
      </c>
      <c r="U161">
        <v>385</v>
      </c>
      <c r="V161" t="s">
        <v>217</v>
      </c>
      <c r="W161">
        <v>74000</v>
      </c>
      <c r="X161">
        <v>77700000</v>
      </c>
      <c r="Y161" t="s">
        <v>419</v>
      </c>
      <c r="Z161">
        <v>2025</v>
      </c>
      <c r="AA161">
        <v>6</v>
      </c>
      <c r="AB161">
        <v>2020</v>
      </c>
      <c r="AC161" t="s">
        <v>103</v>
      </c>
      <c r="AD161" t="s">
        <v>137</v>
      </c>
      <c r="AE161">
        <v>2</v>
      </c>
      <c r="AF161">
        <v>2</v>
      </c>
      <c r="AG161">
        <v>2</v>
      </c>
      <c r="AH161" t="s">
        <v>103</v>
      </c>
      <c r="AI161" t="s">
        <v>115</v>
      </c>
      <c r="AJ161" t="s">
        <v>103</v>
      </c>
      <c r="AK161" t="s">
        <v>103</v>
      </c>
      <c r="AL161" t="s">
        <v>116</v>
      </c>
      <c r="AM161" t="s">
        <v>107</v>
      </c>
      <c r="AN161">
        <v>68</v>
      </c>
      <c r="AO161">
        <v>36</v>
      </c>
      <c r="AP161">
        <v>60</v>
      </c>
      <c r="AQ161">
        <v>58</v>
      </c>
      <c r="AR161">
        <v>83</v>
      </c>
      <c r="AS161">
        <v>80</v>
      </c>
      <c r="AT161">
        <v>38</v>
      </c>
      <c r="AU161">
        <v>31</v>
      </c>
      <c r="AV161">
        <v>85</v>
      </c>
      <c r="AW161">
        <v>75</v>
      </c>
      <c r="AX161">
        <v>28</v>
      </c>
      <c r="AY161">
        <v>52</v>
      </c>
      <c r="AZ161">
        <v>47</v>
      </c>
      <c r="BA161">
        <v>27</v>
      </c>
      <c r="BB161">
        <v>72</v>
      </c>
      <c r="BC161">
        <v>65</v>
      </c>
      <c r="BD161">
        <v>61</v>
      </c>
      <c r="BE161">
        <v>73</v>
      </c>
      <c r="BF161">
        <v>51</v>
      </c>
      <c r="BG161">
        <v>81</v>
      </c>
      <c r="BH161">
        <v>37</v>
      </c>
      <c r="BI161">
        <v>51</v>
      </c>
      <c r="BJ161">
        <v>70</v>
      </c>
      <c r="BK161">
        <v>66</v>
      </c>
      <c r="BL161">
        <v>87</v>
      </c>
      <c r="BM161">
        <v>30</v>
      </c>
      <c r="BN161">
        <v>81</v>
      </c>
      <c r="BO161">
        <v>80</v>
      </c>
      <c r="BP161">
        <v>44</v>
      </c>
      <c r="BQ161">
        <v>59</v>
      </c>
      <c r="BR161">
        <v>40</v>
      </c>
      <c r="BS161">
        <v>74</v>
      </c>
      <c r="BT161">
        <v>83</v>
      </c>
      <c r="BU161">
        <v>84</v>
      </c>
      <c r="BV161">
        <v>80</v>
      </c>
      <c r="BW161">
        <v>12</v>
      </c>
      <c r="BX161">
        <v>8</v>
      </c>
      <c r="BY161">
        <v>13</v>
      </c>
      <c r="BZ161">
        <v>10</v>
      </c>
      <c r="CA161">
        <v>7</v>
      </c>
      <c r="CB161">
        <v>59</v>
      </c>
      <c r="CC161">
        <v>55</v>
      </c>
      <c r="CD161">
        <v>57</v>
      </c>
      <c r="CE161">
        <v>57</v>
      </c>
      <c r="CF161">
        <v>57</v>
      </c>
      <c r="CG161">
        <v>55</v>
      </c>
      <c r="CH161">
        <v>61</v>
      </c>
      <c r="CI161">
        <v>61</v>
      </c>
      <c r="CJ161">
        <v>68</v>
      </c>
      <c r="CK161">
        <v>61</v>
      </c>
      <c r="CL161">
        <v>72</v>
      </c>
      <c r="CM161">
        <v>78</v>
      </c>
      <c r="CN161">
        <v>72</v>
      </c>
      <c r="CO161">
        <v>75</v>
      </c>
      <c r="CP161">
        <v>83</v>
      </c>
      <c r="CQ161">
        <v>75</v>
      </c>
      <c r="CR161">
        <v>19</v>
      </c>
    </row>
    <row r="162" spans="1:96">
      <c r="A162">
        <v>161</v>
      </c>
      <c r="B162" t="s">
        <v>851</v>
      </c>
      <c r="C162" t="s">
        <v>734</v>
      </c>
      <c r="D162" t="s">
        <v>419</v>
      </c>
      <c r="E162" t="s">
        <v>426</v>
      </c>
      <c r="F162">
        <v>83</v>
      </c>
      <c r="G162">
        <v>20</v>
      </c>
      <c r="H162" t="s">
        <v>852</v>
      </c>
      <c r="I162" t="s">
        <v>853</v>
      </c>
      <c r="J162">
        <v>81</v>
      </c>
      <c r="K162">
        <v>87</v>
      </c>
      <c r="L162">
        <v>37000000</v>
      </c>
      <c r="M162" t="s">
        <v>419</v>
      </c>
      <c r="N162" t="s">
        <v>419</v>
      </c>
      <c r="O162" t="s">
        <v>319</v>
      </c>
      <c r="P162" t="s">
        <v>854</v>
      </c>
      <c r="Q162">
        <v>23</v>
      </c>
      <c r="R162">
        <v>186</v>
      </c>
      <c r="S162">
        <v>90</v>
      </c>
      <c r="T162">
        <v>1840</v>
      </c>
      <c r="U162">
        <v>415</v>
      </c>
      <c r="V162" t="s">
        <v>151</v>
      </c>
      <c r="W162">
        <v>54000</v>
      </c>
      <c r="X162">
        <v>68500000</v>
      </c>
      <c r="Y162" t="s">
        <v>419</v>
      </c>
      <c r="Z162">
        <v>2026</v>
      </c>
      <c r="AA162">
        <v>2</v>
      </c>
      <c r="AB162">
        <v>2021</v>
      </c>
      <c r="AC162" t="s">
        <v>103</v>
      </c>
      <c r="AD162" t="s">
        <v>104</v>
      </c>
      <c r="AE162">
        <v>3</v>
      </c>
      <c r="AF162">
        <v>3</v>
      </c>
      <c r="AG162">
        <v>2</v>
      </c>
      <c r="AH162" t="s">
        <v>103</v>
      </c>
      <c r="AI162" t="s">
        <v>321</v>
      </c>
      <c r="AJ162" t="s">
        <v>103</v>
      </c>
      <c r="AK162" t="s">
        <v>103</v>
      </c>
      <c r="AL162" t="s">
        <v>107</v>
      </c>
      <c r="AM162" t="s">
        <v>116</v>
      </c>
      <c r="AN162">
        <v>82</v>
      </c>
      <c r="AO162">
        <v>43</v>
      </c>
      <c r="AP162">
        <v>61</v>
      </c>
      <c r="AQ162">
        <v>68</v>
      </c>
      <c r="AR162">
        <v>80</v>
      </c>
      <c r="AS162">
        <v>81</v>
      </c>
      <c r="AT162">
        <v>48</v>
      </c>
      <c r="AU162">
        <v>39</v>
      </c>
      <c r="AV162">
        <v>82</v>
      </c>
      <c r="AW162">
        <v>75</v>
      </c>
      <c r="AX162">
        <v>27</v>
      </c>
      <c r="AY162">
        <v>69</v>
      </c>
      <c r="AZ162">
        <v>32</v>
      </c>
      <c r="BA162">
        <v>28</v>
      </c>
      <c r="BB162">
        <v>72</v>
      </c>
      <c r="BC162">
        <v>67</v>
      </c>
      <c r="BD162">
        <v>74</v>
      </c>
      <c r="BE162">
        <v>89</v>
      </c>
      <c r="BF162">
        <v>63</v>
      </c>
      <c r="BG162">
        <v>75</v>
      </c>
      <c r="BH162">
        <v>67</v>
      </c>
      <c r="BI162">
        <v>60</v>
      </c>
      <c r="BJ162">
        <v>87</v>
      </c>
      <c r="BK162">
        <v>65</v>
      </c>
      <c r="BL162">
        <v>88</v>
      </c>
      <c r="BM162">
        <v>40</v>
      </c>
      <c r="BN162">
        <v>83</v>
      </c>
      <c r="BO162">
        <v>76</v>
      </c>
      <c r="BP162">
        <v>47</v>
      </c>
      <c r="BQ162">
        <v>58</v>
      </c>
      <c r="BR162">
        <v>39</v>
      </c>
      <c r="BS162">
        <v>71</v>
      </c>
      <c r="BT162">
        <v>77</v>
      </c>
      <c r="BU162">
        <v>83</v>
      </c>
      <c r="BV162">
        <v>85</v>
      </c>
      <c r="BW162">
        <v>6</v>
      </c>
      <c r="BX162">
        <v>7</v>
      </c>
      <c r="BY162">
        <v>8</v>
      </c>
      <c r="BZ162">
        <v>15</v>
      </c>
      <c r="CA162">
        <v>9</v>
      </c>
      <c r="CB162">
        <v>64</v>
      </c>
      <c r="CC162">
        <v>62</v>
      </c>
      <c r="CD162">
        <v>63</v>
      </c>
      <c r="CE162">
        <v>63</v>
      </c>
      <c r="CF162">
        <v>63</v>
      </c>
      <c r="CG162">
        <v>62</v>
      </c>
      <c r="CH162">
        <v>66</v>
      </c>
      <c r="CI162">
        <v>67</v>
      </c>
      <c r="CJ162">
        <v>69</v>
      </c>
      <c r="CK162">
        <v>67</v>
      </c>
      <c r="CL162">
        <v>75</v>
      </c>
      <c r="CM162">
        <v>77</v>
      </c>
      <c r="CN162">
        <v>75</v>
      </c>
      <c r="CO162">
        <v>77</v>
      </c>
      <c r="CP162">
        <v>83</v>
      </c>
      <c r="CQ162">
        <v>77</v>
      </c>
      <c r="CR162">
        <v>18</v>
      </c>
    </row>
    <row r="163" spans="1:96">
      <c r="A163">
        <v>162</v>
      </c>
      <c r="B163" t="s">
        <v>855</v>
      </c>
      <c r="C163" t="s">
        <v>734</v>
      </c>
      <c r="D163" t="s">
        <v>419</v>
      </c>
      <c r="E163" t="s">
        <v>140</v>
      </c>
      <c r="F163">
        <v>83</v>
      </c>
      <c r="G163">
        <v>20</v>
      </c>
      <c r="H163" t="s">
        <v>856</v>
      </c>
      <c r="I163" t="s">
        <v>855</v>
      </c>
      <c r="J163">
        <v>83</v>
      </c>
      <c r="K163">
        <v>89</v>
      </c>
      <c r="L163">
        <v>52000000</v>
      </c>
      <c r="M163" t="s">
        <v>786</v>
      </c>
      <c r="N163" t="s">
        <v>419</v>
      </c>
      <c r="O163" t="s">
        <v>174</v>
      </c>
      <c r="P163" t="s">
        <v>857</v>
      </c>
      <c r="Q163">
        <v>23</v>
      </c>
      <c r="R163">
        <v>192</v>
      </c>
      <c r="S163">
        <v>91</v>
      </c>
      <c r="T163">
        <v>1905</v>
      </c>
      <c r="U163">
        <v>420</v>
      </c>
      <c r="V163" t="s">
        <v>144</v>
      </c>
      <c r="W163">
        <v>135000</v>
      </c>
      <c r="X163">
        <v>117000000</v>
      </c>
      <c r="Y163" t="s">
        <v>419</v>
      </c>
      <c r="Z163">
        <v>2026</v>
      </c>
      <c r="AA163">
        <v>4</v>
      </c>
      <c r="AB163">
        <v>2018</v>
      </c>
      <c r="AC163" t="s">
        <v>103</v>
      </c>
      <c r="AD163" t="s">
        <v>104</v>
      </c>
      <c r="AE163">
        <v>3</v>
      </c>
      <c r="AF163">
        <v>2</v>
      </c>
      <c r="AG163">
        <v>1</v>
      </c>
      <c r="AH163" t="s">
        <v>103</v>
      </c>
      <c r="AI163" t="s">
        <v>176</v>
      </c>
      <c r="AJ163" t="s">
        <v>103</v>
      </c>
      <c r="AK163" t="s">
        <v>103</v>
      </c>
      <c r="AL163" t="s">
        <v>116</v>
      </c>
      <c r="AM163" t="s">
        <v>107</v>
      </c>
      <c r="AN163">
        <v>77</v>
      </c>
      <c r="AO163">
        <v>51</v>
      </c>
      <c r="AP163">
        <v>65</v>
      </c>
      <c r="AQ163">
        <v>61</v>
      </c>
      <c r="AR163">
        <v>83</v>
      </c>
      <c r="AS163">
        <v>83</v>
      </c>
      <c r="AT163">
        <v>58</v>
      </c>
      <c r="AU163">
        <v>56</v>
      </c>
      <c r="AV163">
        <v>85</v>
      </c>
      <c r="AW163">
        <v>76</v>
      </c>
      <c r="AX163">
        <v>38</v>
      </c>
      <c r="AY163">
        <v>55</v>
      </c>
      <c r="AZ163">
        <v>47</v>
      </c>
      <c r="BA163">
        <v>45</v>
      </c>
      <c r="BB163">
        <v>66</v>
      </c>
      <c r="BC163">
        <v>66</v>
      </c>
      <c r="BD163">
        <v>68</v>
      </c>
      <c r="BE163">
        <v>84</v>
      </c>
      <c r="BF163">
        <v>56</v>
      </c>
      <c r="BG163">
        <v>81</v>
      </c>
      <c r="BH163">
        <v>55</v>
      </c>
      <c r="BI163">
        <v>61</v>
      </c>
      <c r="BJ163">
        <v>87</v>
      </c>
      <c r="BK163">
        <v>74</v>
      </c>
      <c r="BL163">
        <v>86</v>
      </c>
      <c r="BM163">
        <v>35</v>
      </c>
      <c r="BN163">
        <v>84</v>
      </c>
      <c r="BO163">
        <v>81</v>
      </c>
      <c r="BP163">
        <v>56</v>
      </c>
      <c r="BQ163">
        <v>59</v>
      </c>
      <c r="BR163">
        <v>43</v>
      </c>
      <c r="BS163">
        <v>76</v>
      </c>
      <c r="BT163">
        <v>82</v>
      </c>
      <c r="BU163">
        <v>84</v>
      </c>
      <c r="BV163">
        <v>84</v>
      </c>
      <c r="BW163">
        <v>11</v>
      </c>
      <c r="BX163">
        <v>14</v>
      </c>
      <c r="BY163">
        <v>9</v>
      </c>
      <c r="BZ163">
        <v>11</v>
      </c>
      <c r="CA163">
        <v>8</v>
      </c>
      <c r="CB163">
        <v>68</v>
      </c>
      <c r="CC163">
        <v>63</v>
      </c>
      <c r="CD163">
        <v>64</v>
      </c>
      <c r="CE163">
        <v>64</v>
      </c>
      <c r="CF163">
        <v>64</v>
      </c>
      <c r="CG163">
        <v>63</v>
      </c>
      <c r="CH163">
        <v>65</v>
      </c>
      <c r="CI163">
        <v>67</v>
      </c>
      <c r="CJ163">
        <v>69</v>
      </c>
      <c r="CK163">
        <v>67</v>
      </c>
      <c r="CL163">
        <v>77</v>
      </c>
      <c r="CM163">
        <v>79</v>
      </c>
      <c r="CN163">
        <v>77</v>
      </c>
      <c r="CO163">
        <v>80</v>
      </c>
      <c r="CP163">
        <v>84</v>
      </c>
      <c r="CQ163">
        <v>80</v>
      </c>
      <c r="CR163">
        <v>21</v>
      </c>
    </row>
    <row r="164" spans="1:96">
      <c r="A164">
        <v>163</v>
      </c>
      <c r="B164" t="s">
        <v>858</v>
      </c>
      <c r="C164" t="s">
        <v>734</v>
      </c>
      <c r="D164" t="s">
        <v>753</v>
      </c>
      <c r="E164" t="s">
        <v>118</v>
      </c>
      <c r="F164">
        <v>83</v>
      </c>
      <c r="G164">
        <v>20</v>
      </c>
      <c r="H164" t="s">
        <v>859</v>
      </c>
      <c r="I164" t="s">
        <v>858</v>
      </c>
      <c r="J164">
        <v>83</v>
      </c>
      <c r="K164">
        <v>84</v>
      </c>
      <c r="L164">
        <v>38000000</v>
      </c>
      <c r="M164" t="s">
        <v>753</v>
      </c>
      <c r="N164" t="s">
        <v>753</v>
      </c>
      <c r="O164" t="s">
        <v>319</v>
      </c>
      <c r="P164" t="s">
        <v>860</v>
      </c>
      <c r="Q164">
        <v>27</v>
      </c>
      <c r="R164">
        <v>180</v>
      </c>
      <c r="S164">
        <v>73</v>
      </c>
      <c r="T164">
        <v>2158</v>
      </c>
      <c r="U164">
        <v>473</v>
      </c>
      <c r="V164" t="s">
        <v>123</v>
      </c>
      <c r="W164">
        <v>170000</v>
      </c>
      <c r="X164">
        <v>80800000</v>
      </c>
      <c r="Y164" t="s">
        <v>753</v>
      </c>
      <c r="Z164">
        <v>2025</v>
      </c>
      <c r="AA164">
        <v>23</v>
      </c>
      <c r="AB164">
        <v>2019</v>
      </c>
      <c r="AC164" t="s">
        <v>103</v>
      </c>
      <c r="AD164" t="s">
        <v>137</v>
      </c>
      <c r="AE164">
        <v>5</v>
      </c>
      <c r="AF164">
        <v>4</v>
      </c>
      <c r="AG164">
        <v>1</v>
      </c>
      <c r="AH164" t="s">
        <v>103</v>
      </c>
      <c r="AI164" t="s">
        <v>321</v>
      </c>
      <c r="AJ164" t="s">
        <v>103</v>
      </c>
      <c r="AK164" t="s">
        <v>103</v>
      </c>
      <c r="AL164" t="s">
        <v>107</v>
      </c>
      <c r="AM164" t="s">
        <v>107</v>
      </c>
      <c r="AN164">
        <v>92</v>
      </c>
      <c r="AO164">
        <v>64</v>
      </c>
      <c r="AP164">
        <v>77</v>
      </c>
      <c r="AQ164">
        <v>78</v>
      </c>
      <c r="AR164">
        <v>78</v>
      </c>
      <c r="AS164">
        <v>84</v>
      </c>
      <c r="AT164">
        <v>78</v>
      </c>
      <c r="AU164">
        <v>63</v>
      </c>
      <c r="AV164">
        <v>72</v>
      </c>
      <c r="AW164">
        <v>82</v>
      </c>
      <c r="AX164">
        <v>50</v>
      </c>
      <c r="AY164">
        <v>77</v>
      </c>
      <c r="AZ164">
        <v>72</v>
      </c>
      <c r="BA164">
        <v>45</v>
      </c>
      <c r="BB164">
        <v>79</v>
      </c>
      <c r="BC164">
        <v>76</v>
      </c>
      <c r="BD164">
        <v>91</v>
      </c>
      <c r="BE164">
        <v>92</v>
      </c>
      <c r="BF164">
        <v>81</v>
      </c>
      <c r="BG164">
        <v>82</v>
      </c>
      <c r="BH164">
        <v>79</v>
      </c>
      <c r="BI164">
        <v>69</v>
      </c>
      <c r="BJ164">
        <v>79</v>
      </c>
      <c r="BK164">
        <v>90</v>
      </c>
      <c r="BL164">
        <v>83</v>
      </c>
      <c r="BM164">
        <v>64</v>
      </c>
      <c r="BN164">
        <v>82</v>
      </c>
      <c r="BO164">
        <v>79</v>
      </c>
      <c r="BP164">
        <v>80</v>
      </c>
      <c r="BQ164">
        <v>75</v>
      </c>
      <c r="BR164">
        <v>49</v>
      </c>
      <c r="BS164">
        <v>78</v>
      </c>
      <c r="BT164">
        <v>77</v>
      </c>
      <c r="BU164">
        <v>81</v>
      </c>
      <c r="BV164">
        <v>80</v>
      </c>
      <c r="BW164">
        <v>7</v>
      </c>
      <c r="BX164">
        <v>16</v>
      </c>
      <c r="BY164">
        <v>9</v>
      </c>
      <c r="BZ164">
        <v>10</v>
      </c>
      <c r="CA164">
        <v>9</v>
      </c>
      <c r="CB164">
        <v>77</v>
      </c>
      <c r="CC164">
        <v>78</v>
      </c>
      <c r="CD164">
        <v>77</v>
      </c>
      <c r="CE164">
        <v>77</v>
      </c>
      <c r="CF164">
        <v>77</v>
      </c>
      <c r="CG164">
        <v>78</v>
      </c>
      <c r="CH164">
        <v>80</v>
      </c>
      <c r="CI164">
        <v>82</v>
      </c>
      <c r="CJ164">
        <v>81</v>
      </c>
      <c r="CK164">
        <v>82</v>
      </c>
      <c r="CL164">
        <v>84</v>
      </c>
      <c r="CM164">
        <v>82</v>
      </c>
      <c r="CN164">
        <v>84</v>
      </c>
      <c r="CO164">
        <v>83</v>
      </c>
      <c r="CP164">
        <v>82</v>
      </c>
      <c r="CQ164">
        <v>83</v>
      </c>
      <c r="CR164">
        <v>20</v>
      </c>
    </row>
    <row r="165" spans="1:96">
      <c r="A165">
        <v>164</v>
      </c>
      <c r="B165" t="s">
        <v>861</v>
      </c>
      <c r="C165" t="s">
        <v>734</v>
      </c>
      <c r="D165" t="s">
        <v>749</v>
      </c>
      <c r="E165" t="s">
        <v>238</v>
      </c>
      <c r="F165">
        <v>83</v>
      </c>
      <c r="G165">
        <v>20</v>
      </c>
      <c r="H165" t="s">
        <v>861</v>
      </c>
      <c r="I165" t="s">
        <v>862</v>
      </c>
      <c r="J165">
        <v>83</v>
      </c>
      <c r="K165">
        <v>83</v>
      </c>
      <c r="L165">
        <v>33000000</v>
      </c>
      <c r="M165" t="s">
        <v>838</v>
      </c>
      <c r="N165" t="s">
        <v>749</v>
      </c>
      <c r="O165" t="s">
        <v>134</v>
      </c>
      <c r="P165" t="s">
        <v>863</v>
      </c>
      <c r="Q165">
        <v>28</v>
      </c>
      <c r="R165">
        <v>175</v>
      </c>
      <c r="S165">
        <v>70</v>
      </c>
      <c r="T165">
        <v>2168</v>
      </c>
      <c r="U165">
        <v>459</v>
      </c>
      <c r="V165" t="s">
        <v>238</v>
      </c>
      <c r="W165">
        <v>105000</v>
      </c>
      <c r="X165">
        <v>62700000</v>
      </c>
      <c r="Y165" t="s">
        <v>114</v>
      </c>
      <c r="Z165">
        <v>2026</v>
      </c>
      <c r="AA165">
        <v>21</v>
      </c>
      <c r="AB165">
        <v>2018</v>
      </c>
      <c r="AC165" t="s">
        <v>103</v>
      </c>
      <c r="AD165" t="s">
        <v>104</v>
      </c>
      <c r="AE165">
        <v>4</v>
      </c>
      <c r="AF165">
        <v>3</v>
      </c>
      <c r="AG165">
        <v>3</v>
      </c>
      <c r="AH165" t="s">
        <v>103</v>
      </c>
      <c r="AI165" t="s">
        <v>138</v>
      </c>
      <c r="AJ165" t="s">
        <v>103</v>
      </c>
      <c r="AK165" t="s">
        <v>103</v>
      </c>
      <c r="AL165" t="s">
        <v>107</v>
      </c>
      <c r="AM165" t="s">
        <v>107</v>
      </c>
      <c r="AN165">
        <v>79</v>
      </c>
      <c r="AO165">
        <v>67</v>
      </c>
      <c r="AP165">
        <v>79</v>
      </c>
      <c r="AQ165">
        <v>81</v>
      </c>
      <c r="AR165">
        <v>80</v>
      </c>
      <c r="AS165">
        <v>73</v>
      </c>
      <c r="AT165">
        <v>82</v>
      </c>
      <c r="AU165">
        <v>66</v>
      </c>
      <c r="AV165">
        <v>68</v>
      </c>
      <c r="AW165">
        <v>82</v>
      </c>
      <c r="AX165">
        <v>59</v>
      </c>
      <c r="AY165">
        <v>81</v>
      </c>
      <c r="AZ165">
        <v>78</v>
      </c>
      <c r="BA165">
        <v>52</v>
      </c>
      <c r="BB165">
        <v>77</v>
      </c>
      <c r="BC165">
        <v>83</v>
      </c>
      <c r="BD165">
        <v>83</v>
      </c>
      <c r="BE165">
        <v>76</v>
      </c>
      <c r="BF165">
        <v>76</v>
      </c>
      <c r="BG165">
        <v>82</v>
      </c>
      <c r="BH165">
        <v>79</v>
      </c>
      <c r="BI165">
        <v>74</v>
      </c>
      <c r="BJ165">
        <v>75</v>
      </c>
      <c r="BK165">
        <v>76</v>
      </c>
      <c r="BL165">
        <v>69</v>
      </c>
      <c r="BM165">
        <v>64</v>
      </c>
      <c r="BN165">
        <v>79</v>
      </c>
      <c r="BO165">
        <v>79</v>
      </c>
      <c r="BP165">
        <v>77</v>
      </c>
      <c r="BQ165">
        <v>77</v>
      </c>
      <c r="BR165">
        <v>61</v>
      </c>
      <c r="BS165">
        <v>81</v>
      </c>
      <c r="BT165">
        <v>81</v>
      </c>
      <c r="BU165">
        <v>84</v>
      </c>
      <c r="BV165">
        <v>83</v>
      </c>
      <c r="BW165">
        <v>16</v>
      </c>
      <c r="BX165">
        <v>12</v>
      </c>
      <c r="BY165">
        <v>15</v>
      </c>
      <c r="BZ165">
        <v>11</v>
      </c>
      <c r="CA165">
        <v>11</v>
      </c>
      <c r="CB165">
        <v>77</v>
      </c>
      <c r="CC165">
        <v>78</v>
      </c>
      <c r="CD165">
        <v>78</v>
      </c>
      <c r="CE165">
        <v>78</v>
      </c>
      <c r="CF165">
        <v>78</v>
      </c>
      <c r="CG165">
        <v>78</v>
      </c>
      <c r="CH165">
        <v>81</v>
      </c>
      <c r="CI165">
        <v>82</v>
      </c>
      <c r="CJ165">
        <v>82</v>
      </c>
      <c r="CK165">
        <v>82</v>
      </c>
      <c r="CL165">
        <v>83</v>
      </c>
      <c r="CM165">
        <v>83</v>
      </c>
      <c r="CN165">
        <v>83</v>
      </c>
      <c r="CO165">
        <v>83</v>
      </c>
      <c r="CP165">
        <v>82</v>
      </c>
      <c r="CQ165">
        <v>83</v>
      </c>
      <c r="CR165">
        <v>23</v>
      </c>
    </row>
    <row r="166" spans="1:96">
      <c r="A166">
        <v>165</v>
      </c>
      <c r="B166" t="s">
        <v>864</v>
      </c>
      <c r="C166" t="s">
        <v>734</v>
      </c>
      <c r="D166" t="s">
        <v>419</v>
      </c>
      <c r="E166" t="s">
        <v>98</v>
      </c>
      <c r="F166">
        <v>83</v>
      </c>
      <c r="G166">
        <v>20</v>
      </c>
      <c r="H166" t="s">
        <v>865</v>
      </c>
      <c r="I166" t="s">
        <v>864</v>
      </c>
      <c r="J166">
        <v>83</v>
      </c>
      <c r="K166">
        <v>84</v>
      </c>
      <c r="L166">
        <v>34500000</v>
      </c>
      <c r="M166" t="s">
        <v>419</v>
      </c>
      <c r="N166" t="s">
        <v>419</v>
      </c>
      <c r="O166" t="s">
        <v>167</v>
      </c>
      <c r="P166" t="s">
        <v>866</v>
      </c>
      <c r="Q166">
        <v>28</v>
      </c>
      <c r="R166">
        <v>188</v>
      </c>
      <c r="S166">
        <v>76</v>
      </c>
      <c r="T166">
        <v>1964</v>
      </c>
      <c r="U166">
        <v>430</v>
      </c>
      <c r="V166" t="s">
        <v>98</v>
      </c>
      <c r="W166">
        <v>150000</v>
      </c>
      <c r="X166">
        <v>66400000</v>
      </c>
      <c r="Y166" t="s">
        <v>114</v>
      </c>
      <c r="Z166">
        <v>2026</v>
      </c>
      <c r="AA166">
        <v>5</v>
      </c>
      <c r="AB166">
        <v>2016</v>
      </c>
      <c r="AC166" t="s">
        <v>103</v>
      </c>
      <c r="AD166" t="s">
        <v>104</v>
      </c>
      <c r="AE166">
        <v>4</v>
      </c>
      <c r="AF166">
        <v>3</v>
      </c>
      <c r="AG166">
        <v>2</v>
      </c>
      <c r="AH166" t="s">
        <v>167</v>
      </c>
      <c r="AI166" t="s">
        <v>170</v>
      </c>
      <c r="AJ166" t="s">
        <v>419</v>
      </c>
      <c r="AK166">
        <v>5</v>
      </c>
      <c r="AL166" t="s">
        <v>107</v>
      </c>
      <c r="AM166" t="s">
        <v>116</v>
      </c>
      <c r="AN166">
        <v>72</v>
      </c>
      <c r="AO166">
        <v>51</v>
      </c>
      <c r="AP166">
        <v>71</v>
      </c>
      <c r="AQ166">
        <v>75</v>
      </c>
      <c r="AR166">
        <v>84</v>
      </c>
      <c r="AS166">
        <v>77</v>
      </c>
      <c r="AT166">
        <v>62</v>
      </c>
      <c r="AU166">
        <v>52</v>
      </c>
      <c r="AV166">
        <v>84</v>
      </c>
      <c r="AW166">
        <v>83</v>
      </c>
      <c r="AX166">
        <v>44</v>
      </c>
      <c r="AY166">
        <v>72</v>
      </c>
      <c r="AZ166">
        <v>52</v>
      </c>
      <c r="BA166">
        <v>37</v>
      </c>
      <c r="BB166">
        <v>75</v>
      </c>
      <c r="BC166">
        <v>83</v>
      </c>
      <c r="BD166">
        <v>68</v>
      </c>
      <c r="BE166">
        <v>76</v>
      </c>
      <c r="BF166">
        <v>66</v>
      </c>
      <c r="BG166">
        <v>82</v>
      </c>
      <c r="BH166">
        <v>59</v>
      </c>
      <c r="BI166">
        <v>55</v>
      </c>
      <c r="BJ166">
        <v>83</v>
      </c>
      <c r="BK166">
        <v>73</v>
      </c>
      <c r="BL166">
        <v>78</v>
      </c>
      <c r="BM166">
        <v>44</v>
      </c>
      <c r="BN166">
        <v>80</v>
      </c>
      <c r="BO166">
        <v>83</v>
      </c>
      <c r="BP166">
        <v>52</v>
      </c>
      <c r="BQ166">
        <v>67</v>
      </c>
      <c r="BR166">
        <v>52</v>
      </c>
      <c r="BS166">
        <v>80</v>
      </c>
      <c r="BT166">
        <v>84</v>
      </c>
      <c r="BU166">
        <v>85</v>
      </c>
      <c r="BV166">
        <v>82</v>
      </c>
      <c r="BW166">
        <v>7</v>
      </c>
      <c r="BX166">
        <v>15</v>
      </c>
      <c r="BY166">
        <v>11</v>
      </c>
      <c r="BZ166">
        <v>10</v>
      </c>
      <c r="CA166">
        <v>8</v>
      </c>
      <c r="CB166">
        <v>69</v>
      </c>
      <c r="CC166">
        <v>69</v>
      </c>
      <c r="CD166">
        <v>69</v>
      </c>
      <c r="CE166">
        <v>69</v>
      </c>
      <c r="CF166">
        <v>69</v>
      </c>
      <c r="CG166">
        <v>69</v>
      </c>
      <c r="CH166">
        <v>73</v>
      </c>
      <c r="CI166">
        <v>73</v>
      </c>
      <c r="CJ166">
        <v>76</v>
      </c>
      <c r="CK166">
        <v>73</v>
      </c>
      <c r="CL166">
        <v>80</v>
      </c>
      <c r="CM166">
        <v>83</v>
      </c>
      <c r="CN166">
        <v>80</v>
      </c>
      <c r="CO166">
        <v>81</v>
      </c>
      <c r="CP166">
        <v>84</v>
      </c>
      <c r="CQ166">
        <v>81</v>
      </c>
      <c r="CR166">
        <v>20</v>
      </c>
    </row>
    <row r="167" spans="1:96">
      <c r="A167">
        <v>166</v>
      </c>
      <c r="B167" t="s">
        <v>867</v>
      </c>
      <c r="C167" t="s">
        <v>734</v>
      </c>
      <c r="D167" t="s">
        <v>419</v>
      </c>
      <c r="E167" t="s">
        <v>275</v>
      </c>
      <c r="F167">
        <v>83</v>
      </c>
      <c r="G167">
        <v>20</v>
      </c>
      <c r="H167" t="s">
        <v>868</v>
      </c>
      <c r="I167" t="s">
        <v>867</v>
      </c>
      <c r="J167">
        <v>83</v>
      </c>
      <c r="K167">
        <v>88</v>
      </c>
      <c r="L167">
        <v>49500000</v>
      </c>
      <c r="M167" t="s">
        <v>419</v>
      </c>
      <c r="N167" t="s">
        <v>419</v>
      </c>
      <c r="O167" t="s">
        <v>287</v>
      </c>
      <c r="P167" t="s">
        <v>869</v>
      </c>
      <c r="Q167">
        <v>24</v>
      </c>
      <c r="R167">
        <v>185</v>
      </c>
      <c r="S167">
        <v>79</v>
      </c>
      <c r="T167">
        <v>1874</v>
      </c>
      <c r="U167">
        <v>408</v>
      </c>
      <c r="V167" t="s">
        <v>280</v>
      </c>
      <c r="W167">
        <v>95000</v>
      </c>
      <c r="X167">
        <v>97800000</v>
      </c>
      <c r="Y167" t="s">
        <v>419</v>
      </c>
      <c r="Z167">
        <v>2027</v>
      </c>
      <c r="AA167">
        <v>17</v>
      </c>
      <c r="AB167">
        <v>2022</v>
      </c>
      <c r="AC167" t="s">
        <v>103</v>
      </c>
      <c r="AD167" t="s">
        <v>104</v>
      </c>
      <c r="AE167">
        <v>2</v>
      </c>
      <c r="AF167">
        <v>3</v>
      </c>
      <c r="AG167">
        <v>3</v>
      </c>
      <c r="AH167" t="s">
        <v>287</v>
      </c>
      <c r="AI167" t="s">
        <v>289</v>
      </c>
      <c r="AJ167" t="s">
        <v>419</v>
      </c>
      <c r="AK167">
        <v>13</v>
      </c>
      <c r="AL167" t="s">
        <v>116</v>
      </c>
      <c r="AM167" t="s">
        <v>107</v>
      </c>
      <c r="AN167">
        <v>73</v>
      </c>
      <c r="AO167">
        <v>46</v>
      </c>
      <c r="AP167">
        <v>57</v>
      </c>
      <c r="AQ167">
        <v>65</v>
      </c>
      <c r="AR167">
        <v>85</v>
      </c>
      <c r="AS167">
        <v>82</v>
      </c>
      <c r="AT167">
        <v>42</v>
      </c>
      <c r="AU167">
        <v>48</v>
      </c>
      <c r="AV167">
        <v>83</v>
      </c>
      <c r="AW167">
        <v>74</v>
      </c>
      <c r="AX167">
        <v>52</v>
      </c>
      <c r="AY167">
        <v>59</v>
      </c>
      <c r="AZ167">
        <v>54</v>
      </c>
      <c r="BA167">
        <v>38</v>
      </c>
      <c r="BB167">
        <v>64</v>
      </c>
      <c r="BC167">
        <v>68</v>
      </c>
      <c r="BD167">
        <v>75</v>
      </c>
      <c r="BE167">
        <v>72</v>
      </c>
      <c r="BF167">
        <v>67</v>
      </c>
      <c r="BG167">
        <v>82</v>
      </c>
      <c r="BH167">
        <v>68</v>
      </c>
      <c r="BI167">
        <v>51</v>
      </c>
      <c r="BJ167">
        <v>85</v>
      </c>
      <c r="BK167">
        <v>74</v>
      </c>
      <c r="BL167">
        <v>82</v>
      </c>
      <c r="BM167">
        <v>36</v>
      </c>
      <c r="BN167">
        <v>90</v>
      </c>
      <c r="BO167">
        <v>82</v>
      </c>
      <c r="BP167">
        <v>43</v>
      </c>
      <c r="BQ167">
        <v>41</v>
      </c>
      <c r="BR167">
        <v>40</v>
      </c>
      <c r="BS167">
        <v>80</v>
      </c>
      <c r="BT167">
        <v>86</v>
      </c>
      <c r="BU167">
        <v>86</v>
      </c>
      <c r="BV167">
        <v>85</v>
      </c>
      <c r="BW167">
        <v>5</v>
      </c>
      <c r="BX167">
        <v>7</v>
      </c>
      <c r="BY167">
        <v>11</v>
      </c>
      <c r="BZ167">
        <v>10</v>
      </c>
      <c r="CA167">
        <v>14</v>
      </c>
      <c r="CB167">
        <v>65</v>
      </c>
      <c r="CC167">
        <v>59</v>
      </c>
      <c r="CD167">
        <v>60</v>
      </c>
      <c r="CE167">
        <v>60</v>
      </c>
      <c r="CF167">
        <v>60</v>
      </c>
      <c r="CG167">
        <v>59</v>
      </c>
      <c r="CH167">
        <v>63</v>
      </c>
      <c r="CI167">
        <v>64</v>
      </c>
      <c r="CJ167">
        <v>67</v>
      </c>
      <c r="CK167">
        <v>64</v>
      </c>
      <c r="CL167">
        <v>77</v>
      </c>
      <c r="CM167">
        <v>80</v>
      </c>
      <c r="CN167">
        <v>77</v>
      </c>
      <c r="CO167">
        <v>79</v>
      </c>
      <c r="CP167">
        <v>86</v>
      </c>
      <c r="CQ167">
        <v>79</v>
      </c>
      <c r="CR167">
        <v>20</v>
      </c>
    </row>
    <row r="168" spans="1:96">
      <c r="A168">
        <v>167</v>
      </c>
      <c r="B168" t="s">
        <v>870</v>
      </c>
      <c r="C168" t="s">
        <v>734</v>
      </c>
      <c r="D168" t="s">
        <v>419</v>
      </c>
      <c r="E168" t="s">
        <v>284</v>
      </c>
      <c r="F168">
        <v>83</v>
      </c>
      <c r="G168">
        <v>20</v>
      </c>
      <c r="H168" t="s">
        <v>871</v>
      </c>
      <c r="I168" t="s">
        <v>872</v>
      </c>
      <c r="J168">
        <v>75</v>
      </c>
      <c r="K168">
        <v>84</v>
      </c>
      <c r="L168">
        <v>12500000</v>
      </c>
      <c r="M168" t="s">
        <v>520</v>
      </c>
      <c r="N168" t="s">
        <v>520</v>
      </c>
      <c r="O168" t="s">
        <v>873</v>
      </c>
      <c r="P168" t="s">
        <v>874</v>
      </c>
      <c r="Q168">
        <v>21</v>
      </c>
      <c r="R168">
        <v>182</v>
      </c>
      <c r="S168">
        <v>69</v>
      </c>
      <c r="T168">
        <v>1958</v>
      </c>
      <c r="U168">
        <v>420</v>
      </c>
      <c r="V168" t="s">
        <v>875</v>
      </c>
      <c r="W168">
        <v>9000</v>
      </c>
      <c r="X168">
        <v>21300000</v>
      </c>
      <c r="Y168" t="s">
        <v>114</v>
      </c>
      <c r="Z168">
        <v>2026</v>
      </c>
      <c r="AA168">
        <v>29</v>
      </c>
      <c r="AB168">
        <v>2022</v>
      </c>
      <c r="AC168" t="s">
        <v>103</v>
      </c>
      <c r="AD168" t="s">
        <v>137</v>
      </c>
      <c r="AE168">
        <v>3</v>
      </c>
      <c r="AF168">
        <v>2</v>
      </c>
      <c r="AG168">
        <v>1</v>
      </c>
      <c r="AH168" t="s">
        <v>873</v>
      </c>
      <c r="AI168" t="s">
        <v>876</v>
      </c>
      <c r="AJ168" t="s">
        <v>114</v>
      </c>
      <c r="AK168">
        <v>11</v>
      </c>
      <c r="AL168" t="s">
        <v>116</v>
      </c>
      <c r="AM168" t="s">
        <v>116</v>
      </c>
      <c r="AN168">
        <v>74</v>
      </c>
      <c r="AO168">
        <v>76</v>
      </c>
      <c r="AP168">
        <v>67</v>
      </c>
      <c r="AQ168">
        <v>71</v>
      </c>
      <c r="AR168">
        <v>52</v>
      </c>
      <c r="AS168">
        <v>80</v>
      </c>
      <c r="AT168">
        <v>60</v>
      </c>
      <c r="AU168">
        <v>79</v>
      </c>
      <c r="AV168">
        <v>78</v>
      </c>
      <c r="AW168">
        <v>70</v>
      </c>
      <c r="AX168">
        <v>63</v>
      </c>
      <c r="AY168">
        <v>72</v>
      </c>
      <c r="AZ168">
        <v>64</v>
      </c>
      <c r="BA168">
        <v>50</v>
      </c>
      <c r="BB168">
        <v>66</v>
      </c>
      <c r="BC168">
        <v>72</v>
      </c>
      <c r="BD168">
        <v>75</v>
      </c>
      <c r="BE168">
        <v>74</v>
      </c>
      <c r="BF168">
        <v>72</v>
      </c>
      <c r="BG168">
        <v>63</v>
      </c>
      <c r="BH168">
        <v>70</v>
      </c>
      <c r="BI168">
        <v>77</v>
      </c>
      <c r="BJ168">
        <v>82</v>
      </c>
      <c r="BK168">
        <v>75</v>
      </c>
      <c r="BL168">
        <v>84</v>
      </c>
      <c r="BM168">
        <v>70</v>
      </c>
      <c r="BN168">
        <v>78</v>
      </c>
      <c r="BO168">
        <v>51</v>
      </c>
      <c r="BP168">
        <v>75</v>
      </c>
      <c r="BQ168">
        <v>73</v>
      </c>
      <c r="BR168">
        <v>81</v>
      </c>
      <c r="BS168">
        <v>67</v>
      </c>
      <c r="BT168">
        <v>55</v>
      </c>
      <c r="BU168">
        <v>49</v>
      </c>
      <c r="BV168">
        <v>32</v>
      </c>
      <c r="BW168">
        <v>6</v>
      </c>
      <c r="BX168">
        <v>14</v>
      </c>
      <c r="BY168">
        <v>12</v>
      </c>
      <c r="BZ168">
        <v>6</v>
      </c>
      <c r="CA168">
        <v>10</v>
      </c>
      <c r="CB168">
        <v>77</v>
      </c>
      <c r="CC168">
        <v>71</v>
      </c>
      <c r="CD168">
        <v>73</v>
      </c>
      <c r="CE168">
        <v>73</v>
      </c>
      <c r="CF168">
        <v>73</v>
      </c>
      <c r="CG168">
        <v>71</v>
      </c>
      <c r="CH168">
        <v>74</v>
      </c>
      <c r="CI168">
        <v>73</v>
      </c>
      <c r="CJ168">
        <v>71</v>
      </c>
      <c r="CK168">
        <v>73</v>
      </c>
      <c r="CL168">
        <v>62</v>
      </c>
      <c r="CM168">
        <v>64</v>
      </c>
      <c r="CN168">
        <v>62</v>
      </c>
      <c r="CO168">
        <v>61</v>
      </c>
      <c r="CP168">
        <v>63</v>
      </c>
      <c r="CQ168">
        <v>61</v>
      </c>
      <c r="CR168">
        <v>17</v>
      </c>
    </row>
    <row r="169" spans="1:96">
      <c r="A169">
        <v>168</v>
      </c>
      <c r="B169" t="s">
        <v>877</v>
      </c>
      <c r="C169" t="s">
        <v>734</v>
      </c>
      <c r="D169" t="s">
        <v>753</v>
      </c>
      <c r="E169" t="s">
        <v>362</v>
      </c>
      <c r="F169">
        <v>82</v>
      </c>
      <c r="G169">
        <v>20</v>
      </c>
      <c r="H169" t="s">
        <v>877</v>
      </c>
      <c r="I169" t="s">
        <v>878</v>
      </c>
      <c r="J169">
        <v>82</v>
      </c>
      <c r="K169">
        <v>83</v>
      </c>
      <c r="L169">
        <v>33000000</v>
      </c>
      <c r="M169" t="s">
        <v>879</v>
      </c>
      <c r="N169" t="s">
        <v>753</v>
      </c>
      <c r="O169" t="s">
        <v>199</v>
      </c>
      <c r="P169" t="s">
        <v>880</v>
      </c>
      <c r="Q169">
        <v>26</v>
      </c>
      <c r="R169">
        <v>172</v>
      </c>
      <c r="S169">
        <v>67</v>
      </c>
      <c r="T169">
        <v>2184</v>
      </c>
      <c r="U169">
        <v>461</v>
      </c>
      <c r="V169" t="s">
        <v>362</v>
      </c>
      <c r="W169">
        <v>19000</v>
      </c>
      <c r="X169">
        <v>68500000</v>
      </c>
      <c r="Y169" t="s">
        <v>753</v>
      </c>
      <c r="Z169">
        <v>2023</v>
      </c>
      <c r="AA169">
        <v>3</v>
      </c>
      <c r="AB169">
        <v>2016</v>
      </c>
      <c r="AC169" t="s">
        <v>103</v>
      </c>
      <c r="AD169" t="s">
        <v>137</v>
      </c>
      <c r="AE169">
        <v>2</v>
      </c>
      <c r="AF169">
        <v>3</v>
      </c>
      <c r="AG169">
        <v>3</v>
      </c>
      <c r="AH169" t="s">
        <v>103</v>
      </c>
      <c r="AI169" t="s">
        <v>201</v>
      </c>
      <c r="AJ169" t="s">
        <v>103</v>
      </c>
      <c r="AK169" t="s">
        <v>103</v>
      </c>
      <c r="AL169" t="s">
        <v>107</v>
      </c>
      <c r="AM169" t="s">
        <v>116</v>
      </c>
      <c r="AN169">
        <v>87</v>
      </c>
      <c r="AO169">
        <v>65</v>
      </c>
      <c r="AP169">
        <v>81</v>
      </c>
      <c r="AQ169">
        <v>83</v>
      </c>
      <c r="AR169">
        <v>74</v>
      </c>
      <c r="AS169">
        <v>71</v>
      </c>
      <c r="AT169">
        <v>82</v>
      </c>
      <c r="AU169">
        <v>52</v>
      </c>
      <c r="AV169">
        <v>66</v>
      </c>
      <c r="AW169">
        <v>83</v>
      </c>
      <c r="AX169">
        <v>61</v>
      </c>
      <c r="AY169">
        <v>83</v>
      </c>
      <c r="AZ169">
        <v>85</v>
      </c>
      <c r="BA169">
        <v>81</v>
      </c>
      <c r="BB169">
        <v>79</v>
      </c>
      <c r="BC169">
        <v>83</v>
      </c>
      <c r="BD169">
        <v>86</v>
      </c>
      <c r="BE169">
        <v>87</v>
      </c>
      <c r="BF169">
        <v>84</v>
      </c>
      <c r="BG169">
        <v>83</v>
      </c>
      <c r="BH169">
        <v>86</v>
      </c>
      <c r="BI169">
        <v>79</v>
      </c>
      <c r="BJ169">
        <v>64</v>
      </c>
      <c r="BK169">
        <v>90</v>
      </c>
      <c r="BL169">
        <v>63</v>
      </c>
      <c r="BM169">
        <v>79</v>
      </c>
      <c r="BN169">
        <v>69</v>
      </c>
      <c r="BO169">
        <v>79</v>
      </c>
      <c r="BP169">
        <v>77</v>
      </c>
      <c r="BQ169">
        <v>78</v>
      </c>
      <c r="BR169">
        <v>54</v>
      </c>
      <c r="BS169">
        <v>83</v>
      </c>
      <c r="BT169">
        <v>71</v>
      </c>
      <c r="BU169">
        <v>76</v>
      </c>
      <c r="BV169">
        <v>74</v>
      </c>
      <c r="BW169">
        <v>7</v>
      </c>
      <c r="BX169">
        <v>13</v>
      </c>
      <c r="BY169">
        <v>10</v>
      </c>
      <c r="BZ169">
        <v>7</v>
      </c>
      <c r="CA169">
        <v>13</v>
      </c>
      <c r="CB169">
        <v>76</v>
      </c>
      <c r="CC169">
        <v>79</v>
      </c>
      <c r="CD169">
        <v>78</v>
      </c>
      <c r="CE169">
        <v>78</v>
      </c>
      <c r="CF169">
        <v>78</v>
      </c>
      <c r="CG169">
        <v>79</v>
      </c>
      <c r="CH169">
        <v>83</v>
      </c>
      <c r="CI169">
        <v>83</v>
      </c>
      <c r="CJ169">
        <v>83</v>
      </c>
      <c r="CK169">
        <v>83</v>
      </c>
      <c r="CL169">
        <v>83</v>
      </c>
      <c r="CM169">
        <v>81</v>
      </c>
      <c r="CN169">
        <v>83</v>
      </c>
      <c r="CO169">
        <v>83</v>
      </c>
      <c r="CP169">
        <v>77</v>
      </c>
      <c r="CQ169">
        <v>83</v>
      </c>
      <c r="CR169">
        <v>21</v>
      </c>
    </row>
    <row r="170" spans="1:96">
      <c r="A170">
        <v>169</v>
      </c>
      <c r="B170" t="s">
        <v>881</v>
      </c>
      <c r="C170" t="s">
        <v>734</v>
      </c>
      <c r="D170" t="s">
        <v>749</v>
      </c>
      <c r="E170" t="s">
        <v>426</v>
      </c>
      <c r="F170">
        <v>82</v>
      </c>
      <c r="G170">
        <v>20</v>
      </c>
      <c r="H170" t="s">
        <v>882</v>
      </c>
      <c r="I170" t="s">
        <v>881</v>
      </c>
      <c r="J170">
        <v>82</v>
      </c>
      <c r="K170">
        <v>86</v>
      </c>
      <c r="L170">
        <v>40500000</v>
      </c>
      <c r="M170" t="s">
        <v>749</v>
      </c>
      <c r="N170" t="s">
        <v>242</v>
      </c>
      <c r="O170" t="s">
        <v>510</v>
      </c>
      <c r="P170" t="s">
        <v>883</v>
      </c>
      <c r="Q170">
        <v>24</v>
      </c>
      <c r="R170">
        <v>183</v>
      </c>
      <c r="S170">
        <v>65</v>
      </c>
      <c r="T170">
        <v>2105</v>
      </c>
      <c r="U170">
        <v>459</v>
      </c>
      <c r="V170" t="s">
        <v>151</v>
      </c>
      <c r="W170">
        <v>59000</v>
      </c>
      <c r="X170">
        <v>69900000</v>
      </c>
      <c r="Y170" t="s">
        <v>114</v>
      </c>
      <c r="Z170">
        <v>2026</v>
      </c>
      <c r="AA170">
        <v>40</v>
      </c>
      <c r="AB170">
        <v>2022</v>
      </c>
      <c r="AC170" t="s">
        <v>103</v>
      </c>
      <c r="AD170" t="s">
        <v>104</v>
      </c>
      <c r="AE170">
        <v>3</v>
      </c>
      <c r="AF170">
        <v>3</v>
      </c>
      <c r="AG170">
        <v>2</v>
      </c>
      <c r="AH170" t="s">
        <v>510</v>
      </c>
      <c r="AI170" t="s">
        <v>512</v>
      </c>
      <c r="AJ170" t="s">
        <v>114</v>
      </c>
      <c r="AK170">
        <v>14</v>
      </c>
      <c r="AL170" t="s">
        <v>107</v>
      </c>
      <c r="AM170" t="s">
        <v>406</v>
      </c>
      <c r="AN170">
        <v>84</v>
      </c>
      <c r="AO170">
        <v>66</v>
      </c>
      <c r="AP170">
        <v>77</v>
      </c>
      <c r="AQ170">
        <v>82</v>
      </c>
      <c r="AR170">
        <v>76</v>
      </c>
      <c r="AS170">
        <v>74</v>
      </c>
      <c r="AT170">
        <v>79</v>
      </c>
      <c r="AU170">
        <v>69</v>
      </c>
      <c r="AV170">
        <v>65</v>
      </c>
      <c r="AW170">
        <v>83</v>
      </c>
      <c r="AX170">
        <v>56</v>
      </c>
      <c r="AY170">
        <v>83</v>
      </c>
      <c r="AZ170">
        <v>69</v>
      </c>
      <c r="BA170">
        <v>42</v>
      </c>
      <c r="BB170">
        <v>76</v>
      </c>
      <c r="BC170">
        <v>84</v>
      </c>
      <c r="BD170">
        <v>83</v>
      </c>
      <c r="BE170">
        <v>84</v>
      </c>
      <c r="BF170">
        <v>86</v>
      </c>
      <c r="BG170">
        <v>78</v>
      </c>
      <c r="BH170">
        <v>69</v>
      </c>
      <c r="BI170">
        <v>68</v>
      </c>
      <c r="BJ170">
        <v>69</v>
      </c>
      <c r="BK170">
        <v>88</v>
      </c>
      <c r="BL170">
        <v>70</v>
      </c>
      <c r="BM170">
        <v>61</v>
      </c>
      <c r="BN170">
        <v>69</v>
      </c>
      <c r="BO170">
        <v>80</v>
      </c>
      <c r="BP170">
        <v>84</v>
      </c>
      <c r="BQ170">
        <v>77</v>
      </c>
      <c r="BR170">
        <v>44</v>
      </c>
      <c r="BS170">
        <v>79</v>
      </c>
      <c r="BT170">
        <v>75</v>
      </c>
      <c r="BU170">
        <v>78</v>
      </c>
      <c r="BV170">
        <v>80</v>
      </c>
      <c r="BW170">
        <v>12</v>
      </c>
      <c r="BX170">
        <v>7</v>
      </c>
      <c r="BY170">
        <v>13</v>
      </c>
      <c r="BZ170">
        <v>12</v>
      </c>
      <c r="CA170">
        <v>12</v>
      </c>
      <c r="CB170">
        <v>77</v>
      </c>
      <c r="CC170">
        <v>80</v>
      </c>
      <c r="CD170">
        <v>79</v>
      </c>
      <c r="CE170">
        <v>79</v>
      </c>
      <c r="CF170">
        <v>79</v>
      </c>
      <c r="CG170">
        <v>80</v>
      </c>
      <c r="CH170">
        <v>82</v>
      </c>
      <c r="CI170">
        <v>83</v>
      </c>
      <c r="CJ170">
        <v>82</v>
      </c>
      <c r="CK170">
        <v>83</v>
      </c>
      <c r="CL170">
        <v>83</v>
      </c>
      <c r="CM170">
        <v>81</v>
      </c>
      <c r="CN170">
        <v>83</v>
      </c>
      <c r="CO170">
        <v>82</v>
      </c>
      <c r="CP170">
        <v>78</v>
      </c>
      <c r="CQ170">
        <v>82</v>
      </c>
      <c r="CR170">
        <v>20</v>
      </c>
    </row>
    <row r="171" spans="1:96">
      <c r="A171">
        <v>170</v>
      </c>
      <c r="B171" t="s">
        <v>884</v>
      </c>
      <c r="C171" t="s">
        <v>734</v>
      </c>
      <c r="D171" t="s">
        <v>753</v>
      </c>
      <c r="E171" t="s">
        <v>220</v>
      </c>
      <c r="F171">
        <v>82</v>
      </c>
      <c r="G171">
        <v>20</v>
      </c>
      <c r="H171" t="s">
        <v>885</v>
      </c>
      <c r="I171" t="s">
        <v>884</v>
      </c>
      <c r="J171">
        <v>82</v>
      </c>
      <c r="K171">
        <v>85</v>
      </c>
      <c r="L171">
        <v>37000000</v>
      </c>
      <c r="M171" t="s">
        <v>886</v>
      </c>
      <c r="N171" t="s">
        <v>765</v>
      </c>
      <c r="O171" t="s">
        <v>167</v>
      </c>
      <c r="P171" t="s">
        <v>887</v>
      </c>
      <c r="Q171">
        <v>25</v>
      </c>
      <c r="R171">
        <v>180</v>
      </c>
      <c r="S171">
        <v>77</v>
      </c>
      <c r="T171">
        <v>2106</v>
      </c>
      <c r="U171">
        <v>445</v>
      </c>
      <c r="V171" t="s">
        <v>220</v>
      </c>
      <c r="W171">
        <v>110000</v>
      </c>
      <c r="X171">
        <v>71200000</v>
      </c>
      <c r="Y171" t="s">
        <v>114</v>
      </c>
      <c r="Z171">
        <v>2025</v>
      </c>
      <c r="AA171">
        <v>21</v>
      </c>
      <c r="AB171">
        <v>2020</v>
      </c>
      <c r="AC171" t="s">
        <v>103</v>
      </c>
      <c r="AD171" t="s">
        <v>137</v>
      </c>
      <c r="AE171">
        <v>3</v>
      </c>
      <c r="AF171">
        <v>3</v>
      </c>
      <c r="AG171">
        <v>2</v>
      </c>
      <c r="AH171" t="s">
        <v>167</v>
      </c>
      <c r="AI171" t="s">
        <v>170</v>
      </c>
      <c r="AJ171" t="s">
        <v>753</v>
      </c>
      <c r="AK171">
        <v>21</v>
      </c>
      <c r="AL171" t="s">
        <v>107</v>
      </c>
      <c r="AM171" t="s">
        <v>116</v>
      </c>
      <c r="AN171">
        <v>76</v>
      </c>
      <c r="AO171">
        <v>60</v>
      </c>
      <c r="AP171">
        <v>78</v>
      </c>
      <c r="AQ171">
        <v>78</v>
      </c>
      <c r="AR171">
        <v>78</v>
      </c>
      <c r="AS171">
        <v>75</v>
      </c>
      <c r="AT171">
        <v>84</v>
      </c>
      <c r="AU171">
        <v>58</v>
      </c>
      <c r="AV171">
        <v>69</v>
      </c>
      <c r="AW171">
        <v>80</v>
      </c>
      <c r="AX171">
        <v>65</v>
      </c>
      <c r="AY171">
        <v>79</v>
      </c>
      <c r="AZ171">
        <v>71</v>
      </c>
      <c r="BA171">
        <v>67</v>
      </c>
      <c r="BB171">
        <v>74</v>
      </c>
      <c r="BC171">
        <v>81</v>
      </c>
      <c r="BD171">
        <v>77</v>
      </c>
      <c r="BE171">
        <v>75</v>
      </c>
      <c r="BF171">
        <v>69</v>
      </c>
      <c r="BG171">
        <v>81</v>
      </c>
      <c r="BH171">
        <v>72</v>
      </c>
      <c r="BI171">
        <v>74</v>
      </c>
      <c r="BJ171">
        <v>86</v>
      </c>
      <c r="BK171">
        <v>86</v>
      </c>
      <c r="BL171">
        <v>69</v>
      </c>
      <c r="BM171">
        <v>47</v>
      </c>
      <c r="BN171">
        <v>73</v>
      </c>
      <c r="BO171">
        <v>76</v>
      </c>
      <c r="BP171">
        <v>78</v>
      </c>
      <c r="BQ171">
        <v>75</v>
      </c>
      <c r="BR171">
        <v>52</v>
      </c>
      <c r="BS171">
        <v>75</v>
      </c>
      <c r="BT171">
        <v>78</v>
      </c>
      <c r="BU171">
        <v>80</v>
      </c>
      <c r="BV171">
        <v>82</v>
      </c>
      <c r="BW171">
        <v>10</v>
      </c>
      <c r="BX171">
        <v>7</v>
      </c>
      <c r="BY171">
        <v>14</v>
      </c>
      <c r="BZ171">
        <v>7</v>
      </c>
      <c r="CA171">
        <v>10</v>
      </c>
      <c r="CB171">
        <v>74</v>
      </c>
      <c r="CC171">
        <v>76</v>
      </c>
      <c r="CD171">
        <v>75</v>
      </c>
      <c r="CE171">
        <v>75</v>
      </c>
      <c r="CF171">
        <v>75</v>
      </c>
      <c r="CG171">
        <v>76</v>
      </c>
      <c r="CH171">
        <v>77</v>
      </c>
      <c r="CI171">
        <v>80</v>
      </c>
      <c r="CJ171">
        <v>79</v>
      </c>
      <c r="CK171">
        <v>80</v>
      </c>
      <c r="CL171">
        <v>82</v>
      </c>
      <c r="CM171">
        <v>80</v>
      </c>
      <c r="CN171">
        <v>82</v>
      </c>
      <c r="CO171">
        <v>82</v>
      </c>
      <c r="CP171">
        <v>79</v>
      </c>
      <c r="CQ171">
        <v>82</v>
      </c>
      <c r="CR171">
        <v>19</v>
      </c>
    </row>
    <row r="172" spans="1:96">
      <c r="A172">
        <v>171</v>
      </c>
      <c r="B172" t="s">
        <v>888</v>
      </c>
      <c r="C172" t="s">
        <v>734</v>
      </c>
      <c r="D172" t="s">
        <v>749</v>
      </c>
      <c r="E172" t="s">
        <v>184</v>
      </c>
      <c r="F172">
        <v>82</v>
      </c>
      <c r="G172">
        <v>20</v>
      </c>
      <c r="H172" t="s">
        <v>889</v>
      </c>
      <c r="I172" t="s">
        <v>888</v>
      </c>
      <c r="J172">
        <v>82</v>
      </c>
      <c r="K172">
        <v>84</v>
      </c>
      <c r="L172">
        <v>34500000</v>
      </c>
      <c r="M172" t="s">
        <v>890</v>
      </c>
      <c r="N172" t="s">
        <v>840</v>
      </c>
      <c r="O172" t="s">
        <v>142</v>
      </c>
      <c r="P172" t="s">
        <v>891</v>
      </c>
      <c r="Q172">
        <v>26</v>
      </c>
      <c r="R172">
        <v>188</v>
      </c>
      <c r="S172">
        <v>80</v>
      </c>
      <c r="T172">
        <v>2061</v>
      </c>
      <c r="U172">
        <v>456</v>
      </c>
      <c r="V172" t="s">
        <v>187</v>
      </c>
      <c r="W172">
        <v>73000</v>
      </c>
      <c r="X172">
        <v>59500000</v>
      </c>
      <c r="Y172" t="s">
        <v>242</v>
      </c>
      <c r="Z172">
        <v>2025</v>
      </c>
      <c r="AA172">
        <v>2</v>
      </c>
      <c r="AB172">
        <v>2021</v>
      </c>
      <c r="AC172" t="s">
        <v>103</v>
      </c>
      <c r="AD172" t="s">
        <v>104</v>
      </c>
      <c r="AE172">
        <v>3</v>
      </c>
      <c r="AF172">
        <v>2</v>
      </c>
      <c r="AG172">
        <v>3</v>
      </c>
      <c r="AH172" t="s">
        <v>142</v>
      </c>
      <c r="AI172" t="s">
        <v>145</v>
      </c>
      <c r="AJ172" t="s">
        <v>840</v>
      </c>
      <c r="AK172">
        <v>22</v>
      </c>
      <c r="AL172" t="s">
        <v>107</v>
      </c>
      <c r="AM172" t="s">
        <v>116</v>
      </c>
      <c r="AN172">
        <v>83</v>
      </c>
      <c r="AO172">
        <v>63</v>
      </c>
      <c r="AP172">
        <v>70</v>
      </c>
      <c r="AQ172">
        <v>73</v>
      </c>
      <c r="AR172">
        <v>78</v>
      </c>
      <c r="AS172">
        <v>89</v>
      </c>
      <c r="AT172">
        <v>77</v>
      </c>
      <c r="AU172">
        <v>67</v>
      </c>
      <c r="AV172">
        <v>84</v>
      </c>
      <c r="AW172">
        <v>76</v>
      </c>
      <c r="AX172">
        <v>38</v>
      </c>
      <c r="AY172">
        <v>72</v>
      </c>
      <c r="AZ172">
        <v>69</v>
      </c>
      <c r="BA172">
        <v>35</v>
      </c>
      <c r="BB172">
        <v>71</v>
      </c>
      <c r="BC172">
        <v>75</v>
      </c>
      <c r="BD172">
        <v>78</v>
      </c>
      <c r="BE172">
        <v>87</v>
      </c>
      <c r="BF172">
        <v>69</v>
      </c>
      <c r="BG172">
        <v>82</v>
      </c>
      <c r="BH172">
        <v>60</v>
      </c>
      <c r="BI172">
        <v>68</v>
      </c>
      <c r="BJ172">
        <v>90</v>
      </c>
      <c r="BK172">
        <v>92</v>
      </c>
      <c r="BL172">
        <v>89</v>
      </c>
      <c r="BM172">
        <v>54</v>
      </c>
      <c r="BN172">
        <v>83</v>
      </c>
      <c r="BO172">
        <v>78</v>
      </c>
      <c r="BP172">
        <v>74</v>
      </c>
      <c r="BQ172">
        <v>59</v>
      </c>
      <c r="BR172">
        <v>48</v>
      </c>
      <c r="BS172">
        <v>74</v>
      </c>
      <c r="BT172">
        <v>76</v>
      </c>
      <c r="BU172">
        <v>79</v>
      </c>
      <c r="BV172">
        <v>77</v>
      </c>
      <c r="BW172">
        <v>10</v>
      </c>
      <c r="BX172">
        <v>10</v>
      </c>
      <c r="BY172">
        <v>7</v>
      </c>
      <c r="BZ172">
        <v>13</v>
      </c>
      <c r="CA172">
        <v>14</v>
      </c>
      <c r="CB172">
        <v>77</v>
      </c>
      <c r="CC172">
        <v>73</v>
      </c>
      <c r="CD172">
        <v>73</v>
      </c>
      <c r="CE172">
        <v>73</v>
      </c>
      <c r="CF172">
        <v>73</v>
      </c>
      <c r="CG172">
        <v>73</v>
      </c>
      <c r="CH172">
        <v>74</v>
      </c>
      <c r="CI172">
        <v>78</v>
      </c>
      <c r="CJ172">
        <v>76</v>
      </c>
      <c r="CK172">
        <v>78</v>
      </c>
      <c r="CL172">
        <v>82</v>
      </c>
      <c r="CM172">
        <v>81</v>
      </c>
      <c r="CN172">
        <v>82</v>
      </c>
      <c r="CO172">
        <v>83</v>
      </c>
      <c r="CP172">
        <v>83</v>
      </c>
      <c r="CQ172">
        <v>83</v>
      </c>
      <c r="CR172">
        <v>22</v>
      </c>
    </row>
    <row r="173" spans="1:96">
      <c r="A173">
        <v>172</v>
      </c>
      <c r="B173" t="s">
        <v>892</v>
      </c>
      <c r="C173" t="s">
        <v>734</v>
      </c>
      <c r="D173" t="s">
        <v>419</v>
      </c>
      <c r="E173" t="s">
        <v>98</v>
      </c>
      <c r="F173">
        <v>82</v>
      </c>
      <c r="G173">
        <v>20</v>
      </c>
      <c r="H173" t="s">
        <v>893</v>
      </c>
      <c r="I173" t="s">
        <v>894</v>
      </c>
      <c r="J173">
        <v>81</v>
      </c>
      <c r="K173">
        <v>89</v>
      </c>
      <c r="L173">
        <v>53000000</v>
      </c>
      <c r="M173" t="s">
        <v>815</v>
      </c>
      <c r="N173" t="s">
        <v>419</v>
      </c>
      <c r="O173" t="s">
        <v>121</v>
      </c>
      <c r="P173" t="s">
        <v>895</v>
      </c>
      <c r="Q173">
        <v>20</v>
      </c>
      <c r="R173">
        <v>185</v>
      </c>
      <c r="S173">
        <v>80</v>
      </c>
      <c r="T173">
        <v>2037</v>
      </c>
      <c r="U173">
        <v>442</v>
      </c>
      <c r="V173" t="s">
        <v>504</v>
      </c>
      <c r="W173">
        <v>41000</v>
      </c>
      <c r="X173">
        <v>100700000</v>
      </c>
      <c r="Y173" t="s">
        <v>419</v>
      </c>
      <c r="Z173">
        <v>2027</v>
      </c>
      <c r="AA173">
        <v>32</v>
      </c>
      <c r="AB173">
        <v>2021</v>
      </c>
      <c r="AC173" t="s">
        <v>103</v>
      </c>
      <c r="AD173" t="s">
        <v>137</v>
      </c>
      <c r="AE173">
        <v>4</v>
      </c>
      <c r="AF173">
        <v>3</v>
      </c>
      <c r="AG173">
        <v>1</v>
      </c>
      <c r="AH173" t="s">
        <v>121</v>
      </c>
      <c r="AI173" t="s">
        <v>124</v>
      </c>
      <c r="AJ173" t="s">
        <v>419</v>
      </c>
      <c r="AK173">
        <v>20</v>
      </c>
      <c r="AL173" t="s">
        <v>107</v>
      </c>
      <c r="AM173" t="s">
        <v>107</v>
      </c>
      <c r="AN173">
        <v>82</v>
      </c>
      <c r="AO173">
        <v>54</v>
      </c>
      <c r="AP173">
        <v>69</v>
      </c>
      <c r="AQ173">
        <v>74</v>
      </c>
      <c r="AR173">
        <v>80</v>
      </c>
      <c r="AS173">
        <v>83</v>
      </c>
      <c r="AT173">
        <v>61</v>
      </c>
      <c r="AU173">
        <v>42</v>
      </c>
      <c r="AV173">
        <v>77</v>
      </c>
      <c r="AW173">
        <v>76</v>
      </c>
      <c r="AX173">
        <v>54</v>
      </c>
      <c r="AY173">
        <v>75</v>
      </c>
      <c r="AZ173">
        <v>59</v>
      </c>
      <c r="BA173">
        <v>59</v>
      </c>
      <c r="BB173">
        <v>74</v>
      </c>
      <c r="BC173">
        <v>76</v>
      </c>
      <c r="BD173">
        <v>80</v>
      </c>
      <c r="BE173">
        <v>84</v>
      </c>
      <c r="BF173">
        <v>68</v>
      </c>
      <c r="BG173">
        <v>77</v>
      </c>
      <c r="BH173">
        <v>65</v>
      </c>
      <c r="BI173">
        <v>76</v>
      </c>
      <c r="BJ173">
        <v>84</v>
      </c>
      <c r="BK173">
        <v>79</v>
      </c>
      <c r="BL173">
        <v>84</v>
      </c>
      <c r="BM173">
        <v>56</v>
      </c>
      <c r="BN173">
        <v>85</v>
      </c>
      <c r="BO173">
        <v>80</v>
      </c>
      <c r="BP173">
        <v>58</v>
      </c>
      <c r="BQ173">
        <v>65</v>
      </c>
      <c r="BR173">
        <v>61</v>
      </c>
      <c r="BS173">
        <v>75</v>
      </c>
      <c r="BT173">
        <v>77</v>
      </c>
      <c r="BU173">
        <v>83</v>
      </c>
      <c r="BV173">
        <v>83</v>
      </c>
      <c r="BW173">
        <v>5</v>
      </c>
      <c r="BX173">
        <v>8</v>
      </c>
      <c r="BY173">
        <v>6</v>
      </c>
      <c r="BZ173">
        <v>9</v>
      </c>
      <c r="CA173">
        <v>11</v>
      </c>
      <c r="CB173">
        <v>70</v>
      </c>
      <c r="CC173">
        <v>69</v>
      </c>
      <c r="CD173">
        <v>69</v>
      </c>
      <c r="CE173">
        <v>69</v>
      </c>
      <c r="CF173">
        <v>69</v>
      </c>
      <c r="CG173">
        <v>69</v>
      </c>
      <c r="CH173">
        <v>71</v>
      </c>
      <c r="CI173">
        <v>73</v>
      </c>
      <c r="CJ173">
        <v>74</v>
      </c>
      <c r="CK173">
        <v>73</v>
      </c>
      <c r="CL173">
        <v>79</v>
      </c>
      <c r="CM173">
        <v>80</v>
      </c>
      <c r="CN173">
        <v>79</v>
      </c>
      <c r="CO173">
        <v>80</v>
      </c>
      <c r="CP173">
        <v>83</v>
      </c>
      <c r="CQ173">
        <v>80</v>
      </c>
      <c r="CR173">
        <v>18</v>
      </c>
    </row>
    <row r="174" spans="1:96">
      <c r="A174">
        <v>173</v>
      </c>
      <c r="B174" t="s">
        <v>896</v>
      </c>
      <c r="C174" t="s">
        <v>734</v>
      </c>
      <c r="D174" t="s">
        <v>419</v>
      </c>
      <c r="E174" t="s">
        <v>98</v>
      </c>
      <c r="F174">
        <v>82</v>
      </c>
      <c r="G174">
        <v>20</v>
      </c>
      <c r="H174" t="s">
        <v>897</v>
      </c>
      <c r="I174" t="s">
        <v>896</v>
      </c>
      <c r="J174">
        <v>81</v>
      </c>
      <c r="K174">
        <v>82</v>
      </c>
      <c r="L174">
        <v>26500000</v>
      </c>
      <c r="M174" t="s">
        <v>419</v>
      </c>
      <c r="N174" t="s">
        <v>419</v>
      </c>
      <c r="O174" t="s">
        <v>333</v>
      </c>
      <c r="P174" t="s">
        <v>898</v>
      </c>
      <c r="Q174">
        <v>26</v>
      </c>
      <c r="R174">
        <v>187</v>
      </c>
      <c r="S174">
        <v>91</v>
      </c>
      <c r="T174">
        <v>1964</v>
      </c>
      <c r="U174">
        <v>430</v>
      </c>
      <c r="V174" t="s">
        <v>98</v>
      </c>
      <c r="W174">
        <v>120000</v>
      </c>
      <c r="X174">
        <v>51000000</v>
      </c>
      <c r="Y174" t="s">
        <v>114</v>
      </c>
      <c r="Z174">
        <v>2023</v>
      </c>
      <c r="AA174">
        <v>25</v>
      </c>
      <c r="AB174">
        <v>2022</v>
      </c>
      <c r="AC174" t="s">
        <v>103</v>
      </c>
      <c r="AD174" t="s">
        <v>104</v>
      </c>
      <c r="AE174">
        <v>4</v>
      </c>
      <c r="AF174">
        <v>2</v>
      </c>
      <c r="AG174">
        <v>2</v>
      </c>
      <c r="AH174" t="s">
        <v>103</v>
      </c>
      <c r="AI174" t="s">
        <v>336</v>
      </c>
      <c r="AJ174" t="s">
        <v>103</v>
      </c>
      <c r="AK174" t="s">
        <v>103</v>
      </c>
      <c r="AL174" t="s">
        <v>116</v>
      </c>
      <c r="AM174" t="s">
        <v>116</v>
      </c>
      <c r="AN174">
        <v>77</v>
      </c>
      <c r="AO174">
        <v>48</v>
      </c>
      <c r="AP174">
        <v>70</v>
      </c>
      <c r="AQ174">
        <v>74</v>
      </c>
      <c r="AR174">
        <v>83</v>
      </c>
      <c r="AS174">
        <v>78</v>
      </c>
      <c r="AT174">
        <v>55</v>
      </c>
      <c r="AU174">
        <v>38</v>
      </c>
      <c r="AV174">
        <v>78</v>
      </c>
      <c r="AW174">
        <v>80</v>
      </c>
      <c r="AX174">
        <v>42</v>
      </c>
      <c r="AY174">
        <v>73</v>
      </c>
      <c r="AZ174">
        <v>54</v>
      </c>
      <c r="BA174">
        <v>59</v>
      </c>
      <c r="BB174">
        <v>80</v>
      </c>
      <c r="BC174">
        <v>76</v>
      </c>
      <c r="BD174">
        <v>75</v>
      </c>
      <c r="BE174">
        <v>79</v>
      </c>
      <c r="BF174">
        <v>69</v>
      </c>
      <c r="BG174">
        <v>82</v>
      </c>
      <c r="BH174">
        <v>67</v>
      </c>
      <c r="BI174">
        <v>75</v>
      </c>
      <c r="BJ174">
        <v>84</v>
      </c>
      <c r="BK174">
        <v>72</v>
      </c>
      <c r="BL174">
        <v>82</v>
      </c>
      <c r="BM174">
        <v>48</v>
      </c>
      <c r="BN174">
        <v>76</v>
      </c>
      <c r="BO174">
        <v>82</v>
      </c>
      <c r="BP174">
        <v>37</v>
      </c>
      <c r="BQ174">
        <v>65</v>
      </c>
      <c r="BR174">
        <v>40</v>
      </c>
      <c r="BS174">
        <v>78</v>
      </c>
      <c r="BT174">
        <v>83</v>
      </c>
      <c r="BU174">
        <v>84</v>
      </c>
      <c r="BV174">
        <v>82</v>
      </c>
      <c r="BW174">
        <v>10</v>
      </c>
      <c r="BX174">
        <v>9</v>
      </c>
      <c r="BY174">
        <v>13</v>
      </c>
      <c r="BZ174">
        <v>6</v>
      </c>
      <c r="CA174">
        <v>9</v>
      </c>
      <c r="CB174">
        <v>66</v>
      </c>
      <c r="CC174">
        <v>65</v>
      </c>
      <c r="CD174">
        <v>65</v>
      </c>
      <c r="CE174">
        <v>65</v>
      </c>
      <c r="CF174">
        <v>65</v>
      </c>
      <c r="CG174">
        <v>65</v>
      </c>
      <c r="CH174">
        <v>70</v>
      </c>
      <c r="CI174">
        <v>70</v>
      </c>
      <c r="CJ174">
        <v>74</v>
      </c>
      <c r="CK174">
        <v>70</v>
      </c>
      <c r="CL174">
        <v>78</v>
      </c>
      <c r="CM174">
        <v>82</v>
      </c>
      <c r="CN174">
        <v>78</v>
      </c>
      <c r="CO174">
        <v>80</v>
      </c>
      <c r="CP174">
        <v>82</v>
      </c>
      <c r="CQ174">
        <v>80</v>
      </c>
      <c r="CR174">
        <v>19</v>
      </c>
    </row>
    <row r="175" spans="1:96">
      <c r="A175">
        <v>174</v>
      </c>
      <c r="B175" t="s">
        <v>899</v>
      </c>
      <c r="C175" t="s">
        <v>734</v>
      </c>
      <c r="D175" t="s">
        <v>419</v>
      </c>
      <c r="E175" t="s">
        <v>217</v>
      </c>
      <c r="F175">
        <v>82</v>
      </c>
      <c r="G175">
        <v>20</v>
      </c>
      <c r="H175" t="s">
        <v>900</v>
      </c>
      <c r="I175" t="s">
        <v>899</v>
      </c>
      <c r="J175">
        <v>80</v>
      </c>
      <c r="K175">
        <v>87</v>
      </c>
      <c r="L175">
        <v>40000000</v>
      </c>
      <c r="M175" t="s">
        <v>419</v>
      </c>
      <c r="N175" t="s">
        <v>419</v>
      </c>
      <c r="O175" t="s">
        <v>319</v>
      </c>
      <c r="P175" t="s">
        <v>901</v>
      </c>
      <c r="Q175">
        <v>21</v>
      </c>
      <c r="R175">
        <v>192</v>
      </c>
      <c r="S175">
        <v>85</v>
      </c>
      <c r="T175">
        <v>1834</v>
      </c>
      <c r="U175">
        <v>414</v>
      </c>
      <c r="V175" t="s">
        <v>217</v>
      </c>
      <c r="W175">
        <v>58000</v>
      </c>
      <c r="X175">
        <v>84000000</v>
      </c>
      <c r="Y175" t="s">
        <v>419</v>
      </c>
      <c r="Z175">
        <v>2024</v>
      </c>
      <c r="AA175">
        <v>12</v>
      </c>
      <c r="AB175">
        <v>2019</v>
      </c>
      <c r="AC175" t="s">
        <v>103</v>
      </c>
      <c r="AD175" t="s">
        <v>104</v>
      </c>
      <c r="AE175">
        <v>3</v>
      </c>
      <c r="AF175">
        <v>2</v>
      </c>
      <c r="AG175">
        <v>2</v>
      </c>
      <c r="AH175" t="s">
        <v>319</v>
      </c>
      <c r="AI175" t="s">
        <v>321</v>
      </c>
      <c r="AJ175" t="s">
        <v>419</v>
      </c>
      <c r="AK175">
        <v>17</v>
      </c>
      <c r="AL175" t="s">
        <v>116</v>
      </c>
      <c r="AM175" t="s">
        <v>107</v>
      </c>
      <c r="AN175">
        <v>78</v>
      </c>
      <c r="AO175">
        <v>39</v>
      </c>
      <c r="AP175">
        <v>67</v>
      </c>
      <c r="AQ175">
        <v>71</v>
      </c>
      <c r="AR175">
        <v>80</v>
      </c>
      <c r="AS175">
        <v>79</v>
      </c>
      <c r="AT175">
        <v>58</v>
      </c>
      <c r="AU175">
        <v>37</v>
      </c>
      <c r="AV175">
        <v>67</v>
      </c>
      <c r="AW175">
        <v>78</v>
      </c>
      <c r="AX175">
        <v>34</v>
      </c>
      <c r="AY175">
        <v>70</v>
      </c>
      <c r="AZ175">
        <v>55</v>
      </c>
      <c r="BA175">
        <v>35</v>
      </c>
      <c r="BB175">
        <v>73</v>
      </c>
      <c r="BC175">
        <v>78</v>
      </c>
      <c r="BD175">
        <v>76</v>
      </c>
      <c r="BE175">
        <v>79</v>
      </c>
      <c r="BF175">
        <v>50</v>
      </c>
      <c r="BG175">
        <v>79</v>
      </c>
      <c r="BH175">
        <v>57</v>
      </c>
      <c r="BI175">
        <v>60</v>
      </c>
      <c r="BJ175">
        <v>71</v>
      </c>
      <c r="BK175">
        <v>69</v>
      </c>
      <c r="BL175">
        <v>83</v>
      </c>
      <c r="BM175">
        <v>23</v>
      </c>
      <c r="BN175">
        <v>82</v>
      </c>
      <c r="BO175">
        <v>83</v>
      </c>
      <c r="BP175">
        <v>43</v>
      </c>
      <c r="BQ175">
        <v>62</v>
      </c>
      <c r="BR175">
        <v>47</v>
      </c>
      <c r="BS175">
        <v>76</v>
      </c>
      <c r="BT175">
        <v>80</v>
      </c>
      <c r="BU175">
        <v>84</v>
      </c>
      <c r="BV175">
        <v>79</v>
      </c>
      <c r="BW175">
        <v>7</v>
      </c>
      <c r="BX175">
        <v>10</v>
      </c>
      <c r="BY175">
        <v>6</v>
      </c>
      <c r="BZ175">
        <v>8</v>
      </c>
      <c r="CA175">
        <v>11</v>
      </c>
      <c r="CB175">
        <v>62</v>
      </c>
      <c r="CC175">
        <v>64</v>
      </c>
      <c r="CD175">
        <v>63</v>
      </c>
      <c r="CE175">
        <v>63</v>
      </c>
      <c r="CF175">
        <v>63</v>
      </c>
      <c r="CG175">
        <v>64</v>
      </c>
      <c r="CH175">
        <v>67</v>
      </c>
      <c r="CI175">
        <v>70</v>
      </c>
      <c r="CJ175">
        <v>72</v>
      </c>
      <c r="CK175">
        <v>70</v>
      </c>
      <c r="CL175">
        <v>78</v>
      </c>
      <c r="CM175">
        <v>80</v>
      </c>
      <c r="CN175">
        <v>78</v>
      </c>
      <c r="CO175">
        <v>79</v>
      </c>
      <c r="CP175">
        <v>82</v>
      </c>
      <c r="CQ175">
        <v>79</v>
      </c>
      <c r="CR175">
        <v>19</v>
      </c>
    </row>
    <row r="176" spans="1:96">
      <c r="A176">
        <v>175</v>
      </c>
      <c r="B176" t="s">
        <v>902</v>
      </c>
      <c r="C176" t="s">
        <v>734</v>
      </c>
      <c r="D176" t="s">
        <v>419</v>
      </c>
      <c r="E176" t="s">
        <v>140</v>
      </c>
      <c r="F176">
        <v>82</v>
      </c>
      <c r="G176">
        <v>20</v>
      </c>
      <c r="H176" t="s">
        <v>903</v>
      </c>
      <c r="I176" t="s">
        <v>904</v>
      </c>
      <c r="J176">
        <v>66</v>
      </c>
      <c r="K176">
        <v>74</v>
      </c>
      <c r="L176">
        <v>1900000</v>
      </c>
      <c r="M176" t="s">
        <v>132</v>
      </c>
      <c r="N176" t="s">
        <v>133</v>
      </c>
      <c r="O176" t="s">
        <v>227</v>
      </c>
      <c r="P176" t="s">
        <v>905</v>
      </c>
      <c r="Q176">
        <v>22</v>
      </c>
      <c r="R176">
        <v>180</v>
      </c>
      <c r="S176">
        <v>70</v>
      </c>
      <c r="T176">
        <v>1723</v>
      </c>
      <c r="U176">
        <v>369</v>
      </c>
      <c r="V176" t="s">
        <v>906</v>
      </c>
      <c r="W176">
        <v>2000</v>
      </c>
      <c r="X176">
        <v>2800000</v>
      </c>
      <c r="Y176" t="s">
        <v>97</v>
      </c>
      <c r="Z176">
        <v>2024</v>
      </c>
      <c r="AA176">
        <v>17</v>
      </c>
      <c r="AB176">
        <v>2021</v>
      </c>
      <c r="AC176" t="s">
        <v>103</v>
      </c>
      <c r="AD176" t="s">
        <v>137</v>
      </c>
      <c r="AE176">
        <v>3</v>
      </c>
      <c r="AF176">
        <v>3</v>
      </c>
      <c r="AG176">
        <v>1</v>
      </c>
      <c r="AH176" t="s">
        <v>103</v>
      </c>
      <c r="AI176" t="s">
        <v>229</v>
      </c>
      <c r="AJ176" t="s">
        <v>103</v>
      </c>
      <c r="AK176" t="s">
        <v>103</v>
      </c>
      <c r="AL176" t="s">
        <v>107</v>
      </c>
      <c r="AM176" t="s">
        <v>116</v>
      </c>
      <c r="AN176">
        <v>71</v>
      </c>
      <c r="AO176">
        <v>56</v>
      </c>
      <c r="AP176">
        <v>64</v>
      </c>
      <c r="AQ176">
        <v>69</v>
      </c>
      <c r="AR176">
        <v>47</v>
      </c>
      <c r="AS176">
        <v>62</v>
      </c>
      <c r="AT176">
        <v>59</v>
      </c>
      <c r="AU176">
        <v>60</v>
      </c>
      <c r="AV176">
        <v>40</v>
      </c>
      <c r="AW176">
        <v>67</v>
      </c>
      <c r="AX176">
        <v>50</v>
      </c>
      <c r="AY176">
        <v>68</v>
      </c>
      <c r="AZ176">
        <v>68</v>
      </c>
      <c r="BA176">
        <v>58</v>
      </c>
      <c r="BB176">
        <v>63</v>
      </c>
      <c r="BC176">
        <v>68</v>
      </c>
      <c r="BD176">
        <v>74</v>
      </c>
      <c r="BE176">
        <v>68</v>
      </c>
      <c r="BF176">
        <v>82</v>
      </c>
      <c r="BG176">
        <v>59</v>
      </c>
      <c r="BH176">
        <v>74</v>
      </c>
      <c r="BI176">
        <v>52</v>
      </c>
      <c r="BJ176">
        <v>51</v>
      </c>
      <c r="BK176">
        <v>75</v>
      </c>
      <c r="BL176">
        <v>61</v>
      </c>
      <c r="BM176">
        <v>54</v>
      </c>
      <c r="BN176">
        <v>50</v>
      </c>
      <c r="BO176">
        <v>50</v>
      </c>
      <c r="BP176">
        <v>67</v>
      </c>
      <c r="BQ176">
        <v>66</v>
      </c>
      <c r="BR176">
        <v>45</v>
      </c>
      <c r="BS176">
        <v>67</v>
      </c>
      <c r="BT176">
        <v>46</v>
      </c>
      <c r="BU176">
        <v>49</v>
      </c>
      <c r="BV176">
        <v>46</v>
      </c>
      <c r="BW176">
        <v>11</v>
      </c>
      <c r="BX176">
        <v>8</v>
      </c>
      <c r="BY176">
        <v>9</v>
      </c>
      <c r="BZ176">
        <v>11</v>
      </c>
      <c r="CA176">
        <v>14</v>
      </c>
      <c r="CB176">
        <v>62</v>
      </c>
      <c r="CC176">
        <v>66</v>
      </c>
      <c r="CD176">
        <v>64</v>
      </c>
      <c r="CE176">
        <v>64</v>
      </c>
      <c r="CF176">
        <v>64</v>
      </c>
      <c r="CG176">
        <v>66</v>
      </c>
      <c r="CH176">
        <v>68</v>
      </c>
      <c r="CI176">
        <v>68</v>
      </c>
      <c r="CJ176">
        <v>66</v>
      </c>
      <c r="CK176">
        <v>68</v>
      </c>
      <c r="CL176">
        <v>61</v>
      </c>
      <c r="CM176">
        <v>60</v>
      </c>
      <c r="CN176">
        <v>61</v>
      </c>
      <c r="CO176">
        <v>59</v>
      </c>
      <c r="CP176">
        <v>53</v>
      </c>
      <c r="CQ176">
        <v>59</v>
      </c>
      <c r="CR176">
        <v>18</v>
      </c>
    </row>
    <row r="177" spans="1:96">
      <c r="A177">
        <v>176</v>
      </c>
      <c r="B177" t="s">
        <v>907</v>
      </c>
      <c r="C177" t="s">
        <v>734</v>
      </c>
      <c r="D177" t="s">
        <v>419</v>
      </c>
      <c r="E177" t="s">
        <v>118</v>
      </c>
      <c r="F177">
        <v>82</v>
      </c>
      <c r="G177">
        <v>20</v>
      </c>
      <c r="H177" t="s">
        <v>907</v>
      </c>
      <c r="I177" t="s">
        <v>908</v>
      </c>
      <c r="J177">
        <v>73</v>
      </c>
      <c r="K177">
        <v>73</v>
      </c>
      <c r="L177">
        <v>1600000</v>
      </c>
      <c r="M177" t="s">
        <v>753</v>
      </c>
      <c r="N177" t="s">
        <v>753</v>
      </c>
      <c r="O177" t="s">
        <v>199</v>
      </c>
      <c r="P177" t="s">
        <v>909</v>
      </c>
      <c r="Q177">
        <v>33</v>
      </c>
      <c r="R177">
        <v>174</v>
      </c>
      <c r="S177">
        <v>64</v>
      </c>
      <c r="T177">
        <v>1973</v>
      </c>
      <c r="U177">
        <v>405</v>
      </c>
      <c r="V177" t="s">
        <v>910</v>
      </c>
      <c r="W177">
        <v>9000</v>
      </c>
      <c r="X177">
        <v>2600000</v>
      </c>
      <c r="Y177" t="s">
        <v>753</v>
      </c>
      <c r="Z177">
        <v>2024</v>
      </c>
      <c r="AA177">
        <v>24</v>
      </c>
      <c r="AB177">
        <v>2022</v>
      </c>
      <c r="AC177" t="s">
        <v>103</v>
      </c>
      <c r="AD177" t="s">
        <v>137</v>
      </c>
      <c r="AE177">
        <v>3</v>
      </c>
      <c r="AF177">
        <v>3</v>
      </c>
      <c r="AG177">
        <v>1</v>
      </c>
      <c r="AH177" t="s">
        <v>103</v>
      </c>
      <c r="AI177" t="s">
        <v>201</v>
      </c>
      <c r="AJ177" t="s">
        <v>103</v>
      </c>
      <c r="AK177" t="s">
        <v>103</v>
      </c>
      <c r="AL177" t="s">
        <v>107</v>
      </c>
      <c r="AM177" t="s">
        <v>116</v>
      </c>
      <c r="AN177">
        <v>76</v>
      </c>
      <c r="AO177">
        <v>56</v>
      </c>
      <c r="AP177">
        <v>67</v>
      </c>
      <c r="AQ177">
        <v>68</v>
      </c>
      <c r="AR177">
        <v>67</v>
      </c>
      <c r="AS177">
        <v>71</v>
      </c>
      <c r="AT177">
        <v>71</v>
      </c>
      <c r="AU177">
        <v>43</v>
      </c>
      <c r="AV177">
        <v>61</v>
      </c>
      <c r="AW177">
        <v>69</v>
      </c>
      <c r="AX177">
        <v>66</v>
      </c>
      <c r="AY177">
        <v>62</v>
      </c>
      <c r="AZ177">
        <v>71</v>
      </c>
      <c r="BA177">
        <v>63</v>
      </c>
      <c r="BB177">
        <v>65</v>
      </c>
      <c r="BC177">
        <v>71</v>
      </c>
      <c r="BD177">
        <v>80</v>
      </c>
      <c r="BE177">
        <v>72</v>
      </c>
      <c r="BF177">
        <v>83</v>
      </c>
      <c r="BG177">
        <v>72</v>
      </c>
      <c r="BH177">
        <v>76</v>
      </c>
      <c r="BI177">
        <v>74</v>
      </c>
      <c r="BJ177">
        <v>87</v>
      </c>
      <c r="BK177">
        <v>84</v>
      </c>
      <c r="BL177">
        <v>66</v>
      </c>
      <c r="BM177">
        <v>61</v>
      </c>
      <c r="BN177">
        <v>61</v>
      </c>
      <c r="BO177">
        <v>70</v>
      </c>
      <c r="BP177">
        <v>64</v>
      </c>
      <c r="BQ177">
        <v>60</v>
      </c>
      <c r="BR177">
        <v>61</v>
      </c>
      <c r="BS177">
        <v>64</v>
      </c>
      <c r="BT177">
        <v>62</v>
      </c>
      <c r="BU177">
        <v>72</v>
      </c>
      <c r="BV177">
        <v>68</v>
      </c>
      <c r="BW177">
        <v>13</v>
      </c>
      <c r="BX177">
        <v>12</v>
      </c>
      <c r="BY177">
        <v>11</v>
      </c>
      <c r="BZ177">
        <v>14</v>
      </c>
      <c r="CA177">
        <v>8</v>
      </c>
      <c r="CB177">
        <v>65</v>
      </c>
      <c r="CC177">
        <v>66</v>
      </c>
      <c r="CD177">
        <v>65</v>
      </c>
      <c r="CE177">
        <v>65</v>
      </c>
      <c r="CF177">
        <v>65</v>
      </c>
      <c r="CG177">
        <v>66</v>
      </c>
      <c r="CH177">
        <v>67</v>
      </c>
      <c r="CI177">
        <v>70</v>
      </c>
      <c r="CJ177">
        <v>69</v>
      </c>
      <c r="CK177">
        <v>70</v>
      </c>
      <c r="CL177">
        <v>73</v>
      </c>
      <c r="CM177">
        <v>71</v>
      </c>
      <c r="CN177">
        <v>73</v>
      </c>
      <c r="CO177">
        <v>73</v>
      </c>
      <c r="CP177">
        <v>70</v>
      </c>
      <c r="CQ177">
        <v>73</v>
      </c>
      <c r="CR177">
        <v>20</v>
      </c>
    </row>
    <row r="178" spans="1:96">
      <c r="A178">
        <v>177</v>
      </c>
      <c r="B178" t="s">
        <v>911</v>
      </c>
      <c r="C178" t="s">
        <v>734</v>
      </c>
      <c r="D178" t="s">
        <v>749</v>
      </c>
      <c r="E178" t="s">
        <v>507</v>
      </c>
      <c r="F178">
        <v>81</v>
      </c>
      <c r="G178">
        <v>20</v>
      </c>
      <c r="H178" t="s">
        <v>911</v>
      </c>
      <c r="I178" t="s">
        <v>912</v>
      </c>
      <c r="J178">
        <v>83</v>
      </c>
      <c r="K178">
        <v>83</v>
      </c>
      <c r="L178">
        <v>8000000</v>
      </c>
      <c r="M178" t="s">
        <v>808</v>
      </c>
      <c r="N178" t="s">
        <v>749</v>
      </c>
      <c r="O178" t="s">
        <v>199</v>
      </c>
      <c r="P178" t="s">
        <v>913</v>
      </c>
      <c r="Q178">
        <v>36</v>
      </c>
      <c r="R178">
        <v>172</v>
      </c>
      <c r="S178">
        <v>60</v>
      </c>
      <c r="T178">
        <v>2169</v>
      </c>
      <c r="U178">
        <v>452</v>
      </c>
      <c r="V178" t="s">
        <v>507</v>
      </c>
      <c r="W178">
        <v>28000</v>
      </c>
      <c r="X178">
        <v>16800000</v>
      </c>
      <c r="Y178" t="s">
        <v>749</v>
      </c>
      <c r="Z178">
        <v>2024</v>
      </c>
      <c r="AA178">
        <v>16</v>
      </c>
      <c r="AB178">
        <v>2017</v>
      </c>
      <c r="AC178" t="s">
        <v>103</v>
      </c>
      <c r="AD178" t="s">
        <v>104</v>
      </c>
      <c r="AE178">
        <v>2</v>
      </c>
      <c r="AF178">
        <v>4</v>
      </c>
      <c r="AG178">
        <v>2</v>
      </c>
      <c r="AH178" t="s">
        <v>103</v>
      </c>
      <c r="AI178" t="s">
        <v>201</v>
      </c>
      <c r="AJ178" t="s">
        <v>103</v>
      </c>
      <c r="AK178" t="s">
        <v>103</v>
      </c>
      <c r="AL178" t="s">
        <v>107</v>
      </c>
      <c r="AM178" t="s">
        <v>116</v>
      </c>
      <c r="AN178">
        <v>85</v>
      </c>
      <c r="AO178">
        <v>68</v>
      </c>
      <c r="AP178">
        <v>82</v>
      </c>
      <c r="AQ178">
        <v>81</v>
      </c>
      <c r="AR178">
        <v>79</v>
      </c>
      <c r="AS178">
        <v>57</v>
      </c>
      <c r="AT178">
        <v>88</v>
      </c>
      <c r="AU178">
        <v>63</v>
      </c>
      <c r="AV178">
        <v>73</v>
      </c>
      <c r="AW178">
        <v>83</v>
      </c>
      <c r="AX178">
        <v>75</v>
      </c>
      <c r="AY178">
        <v>80</v>
      </c>
      <c r="AZ178">
        <v>82</v>
      </c>
      <c r="BA178">
        <v>51</v>
      </c>
      <c r="BB178">
        <v>79</v>
      </c>
      <c r="BC178">
        <v>82</v>
      </c>
      <c r="BD178">
        <v>87</v>
      </c>
      <c r="BE178">
        <v>84</v>
      </c>
      <c r="BF178">
        <v>82</v>
      </c>
      <c r="BG178">
        <v>84</v>
      </c>
      <c r="BH178">
        <v>84</v>
      </c>
      <c r="BI178">
        <v>74</v>
      </c>
      <c r="BJ178">
        <v>63</v>
      </c>
      <c r="BK178">
        <v>80</v>
      </c>
      <c r="BL178">
        <v>37</v>
      </c>
      <c r="BM178">
        <v>70</v>
      </c>
      <c r="BN178">
        <v>75</v>
      </c>
      <c r="BO178">
        <v>80</v>
      </c>
      <c r="BP178">
        <v>81</v>
      </c>
      <c r="BQ178">
        <v>83</v>
      </c>
      <c r="BR178">
        <v>56</v>
      </c>
      <c r="BS178">
        <v>82</v>
      </c>
      <c r="BT178">
        <v>82</v>
      </c>
      <c r="BU178">
        <v>77</v>
      </c>
      <c r="BV178">
        <v>79</v>
      </c>
      <c r="BW178">
        <v>10</v>
      </c>
      <c r="BX178">
        <v>10</v>
      </c>
      <c r="BY178">
        <v>15</v>
      </c>
      <c r="BZ178">
        <v>7</v>
      </c>
      <c r="CA178">
        <v>13</v>
      </c>
      <c r="CB178">
        <v>76</v>
      </c>
      <c r="CC178">
        <v>81</v>
      </c>
      <c r="CD178">
        <v>79</v>
      </c>
      <c r="CE178">
        <v>79</v>
      </c>
      <c r="CF178">
        <v>79</v>
      </c>
      <c r="CG178">
        <v>81</v>
      </c>
      <c r="CH178">
        <v>82</v>
      </c>
      <c r="CI178">
        <v>83</v>
      </c>
      <c r="CJ178">
        <v>83</v>
      </c>
      <c r="CK178">
        <v>83</v>
      </c>
      <c r="CL178">
        <v>83</v>
      </c>
      <c r="CM178">
        <v>81</v>
      </c>
      <c r="CN178">
        <v>83</v>
      </c>
      <c r="CO178">
        <v>83</v>
      </c>
      <c r="CP178">
        <v>76</v>
      </c>
      <c r="CQ178">
        <v>83</v>
      </c>
      <c r="CR178">
        <v>20</v>
      </c>
    </row>
    <row r="179" spans="1:96">
      <c r="A179">
        <v>178</v>
      </c>
      <c r="B179" t="s">
        <v>914</v>
      </c>
      <c r="C179" t="s">
        <v>734</v>
      </c>
      <c r="D179" t="s">
        <v>753</v>
      </c>
      <c r="E179" t="s">
        <v>220</v>
      </c>
      <c r="F179">
        <v>81</v>
      </c>
      <c r="G179">
        <v>20</v>
      </c>
      <c r="H179" t="s">
        <v>914</v>
      </c>
      <c r="I179" t="s">
        <v>915</v>
      </c>
      <c r="J179">
        <v>81</v>
      </c>
      <c r="K179">
        <v>85</v>
      </c>
      <c r="L179">
        <v>34500000</v>
      </c>
      <c r="M179" t="s">
        <v>916</v>
      </c>
      <c r="N179" t="s">
        <v>765</v>
      </c>
      <c r="O179" t="s">
        <v>199</v>
      </c>
      <c r="P179" t="s">
        <v>917</v>
      </c>
      <c r="Q179">
        <v>23</v>
      </c>
      <c r="R179">
        <v>172</v>
      </c>
      <c r="S179">
        <v>66</v>
      </c>
      <c r="T179">
        <v>2132</v>
      </c>
      <c r="U179">
        <v>453</v>
      </c>
      <c r="V179" t="s">
        <v>220</v>
      </c>
      <c r="W179">
        <v>90000</v>
      </c>
      <c r="X179">
        <v>66400000</v>
      </c>
      <c r="Y179" t="s">
        <v>765</v>
      </c>
      <c r="Z179">
        <v>2028</v>
      </c>
      <c r="AA179">
        <v>32</v>
      </c>
      <c r="AB179">
        <v>2022</v>
      </c>
      <c r="AC179" t="s">
        <v>103</v>
      </c>
      <c r="AD179" t="s">
        <v>137</v>
      </c>
      <c r="AE179">
        <v>3</v>
      </c>
      <c r="AF179">
        <v>3</v>
      </c>
      <c r="AG179">
        <v>1</v>
      </c>
      <c r="AH179" t="s">
        <v>103</v>
      </c>
      <c r="AI179" t="s">
        <v>201</v>
      </c>
      <c r="AJ179" t="s">
        <v>103</v>
      </c>
      <c r="AK179" t="s">
        <v>103</v>
      </c>
      <c r="AL179" t="s">
        <v>107</v>
      </c>
      <c r="AM179" t="s">
        <v>107</v>
      </c>
      <c r="AN179">
        <v>76</v>
      </c>
      <c r="AO179">
        <v>68</v>
      </c>
      <c r="AP179">
        <v>78</v>
      </c>
      <c r="AQ179">
        <v>80</v>
      </c>
      <c r="AR179">
        <v>77</v>
      </c>
      <c r="AS179">
        <v>74</v>
      </c>
      <c r="AT179">
        <v>81</v>
      </c>
      <c r="AU179">
        <v>68</v>
      </c>
      <c r="AV179">
        <v>57</v>
      </c>
      <c r="AW179">
        <v>79</v>
      </c>
      <c r="AX179">
        <v>55</v>
      </c>
      <c r="AY179">
        <v>81</v>
      </c>
      <c r="AZ179">
        <v>78</v>
      </c>
      <c r="BA179">
        <v>57</v>
      </c>
      <c r="BB179">
        <v>79</v>
      </c>
      <c r="BC179">
        <v>80</v>
      </c>
      <c r="BD179">
        <v>78</v>
      </c>
      <c r="BE179">
        <v>74</v>
      </c>
      <c r="BF179">
        <v>78</v>
      </c>
      <c r="BG179">
        <v>82</v>
      </c>
      <c r="BH179">
        <v>83</v>
      </c>
      <c r="BI179">
        <v>73</v>
      </c>
      <c r="BJ179">
        <v>77</v>
      </c>
      <c r="BK179">
        <v>88</v>
      </c>
      <c r="BL179">
        <v>66</v>
      </c>
      <c r="BM179">
        <v>65</v>
      </c>
      <c r="BN179">
        <v>76</v>
      </c>
      <c r="BO179">
        <v>77</v>
      </c>
      <c r="BP179">
        <v>77</v>
      </c>
      <c r="BQ179">
        <v>78</v>
      </c>
      <c r="BR179">
        <v>59</v>
      </c>
      <c r="BS179">
        <v>77</v>
      </c>
      <c r="BT179">
        <v>79</v>
      </c>
      <c r="BU179">
        <v>80</v>
      </c>
      <c r="BV179">
        <v>77</v>
      </c>
      <c r="BW179">
        <v>13</v>
      </c>
      <c r="BX179">
        <v>7</v>
      </c>
      <c r="BY179">
        <v>9</v>
      </c>
      <c r="BZ179">
        <v>10</v>
      </c>
      <c r="CA179">
        <v>11</v>
      </c>
      <c r="CB179">
        <v>75</v>
      </c>
      <c r="CC179">
        <v>78</v>
      </c>
      <c r="CD179">
        <v>77</v>
      </c>
      <c r="CE179">
        <v>77</v>
      </c>
      <c r="CF179">
        <v>77</v>
      </c>
      <c r="CG179">
        <v>78</v>
      </c>
      <c r="CH179">
        <v>80</v>
      </c>
      <c r="CI179">
        <v>81</v>
      </c>
      <c r="CJ179">
        <v>81</v>
      </c>
      <c r="CK179">
        <v>81</v>
      </c>
      <c r="CL179">
        <v>82</v>
      </c>
      <c r="CM179">
        <v>81</v>
      </c>
      <c r="CN179">
        <v>82</v>
      </c>
      <c r="CO179">
        <v>81</v>
      </c>
      <c r="CP179">
        <v>77</v>
      </c>
      <c r="CQ179">
        <v>81</v>
      </c>
      <c r="CR179">
        <v>20</v>
      </c>
    </row>
    <row r="180" spans="1:96">
      <c r="A180">
        <v>179</v>
      </c>
      <c r="B180" t="s">
        <v>918</v>
      </c>
      <c r="C180" t="s">
        <v>734</v>
      </c>
      <c r="D180" t="s">
        <v>749</v>
      </c>
      <c r="E180" t="s">
        <v>275</v>
      </c>
      <c r="F180">
        <v>81</v>
      </c>
      <c r="G180">
        <v>20</v>
      </c>
      <c r="H180" t="s">
        <v>919</v>
      </c>
      <c r="I180" t="s">
        <v>920</v>
      </c>
      <c r="J180">
        <v>81</v>
      </c>
      <c r="K180">
        <v>87</v>
      </c>
      <c r="L180">
        <v>38500000</v>
      </c>
      <c r="M180" t="s">
        <v>890</v>
      </c>
      <c r="N180" t="s">
        <v>840</v>
      </c>
      <c r="O180" t="s">
        <v>199</v>
      </c>
      <c r="P180" t="s">
        <v>921</v>
      </c>
      <c r="Q180">
        <v>22</v>
      </c>
      <c r="R180">
        <v>173</v>
      </c>
      <c r="S180">
        <v>69</v>
      </c>
      <c r="T180">
        <v>2144</v>
      </c>
      <c r="U180">
        <v>461</v>
      </c>
      <c r="V180" t="s">
        <v>379</v>
      </c>
      <c r="W180">
        <v>15000</v>
      </c>
      <c r="X180">
        <v>84700000</v>
      </c>
      <c r="Y180" t="s">
        <v>840</v>
      </c>
      <c r="Z180">
        <v>2025</v>
      </c>
      <c r="AA180">
        <v>24</v>
      </c>
      <c r="AB180">
        <v>2022</v>
      </c>
      <c r="AC180" t="s">
        <v>103</v>
      </c>
      <c r="AD180" t="s">
        <v>104</v>
      </c>
      <c r="AE180">
        <v>3</v>
      </c>
      <c r="AF180">
        <v>3</v>
      </c>
      <c r="AG180">
        <v>1</v>
      </c>
      <c r="AH180" t="s">
        <v>103</v>
      </c>
      <c r="AI180" t="s">
        <v>201</v>
      </c>
      <c r="AJ180" t="s">
        <v>103</v>
      </c>
      <c r="AK180" t="s">
        <v>103</v>
      </c>
      <c r="AL180" t="s">
        <v>107</v>
      </c>
      <c r="AM180" t="s">
        <v>116</v>
      </c>
      <c r="AN180">
        <v>82</v>
      </c>
      <c r="AO180">
        <v>71</v>
      </c>
      <c r="AP180">
        <v>75</v>
      </c>
      <c r="AQ180">
        <v>80</v>
      </c>
      <c r="AR180">
        <v>75</v>
      </c>
      <c r="AS180">
        <v>78</v>
      </c>
      <c r="AT180">
        <v>81</v>
      </c>
      <c r="AU180">
        <v>65</v>
      </c>
      <c r="AV180">
        <v>68</v>
      </c>
      <c r="AW180">
        <v>75</v>
      </c>
      <c r="AX180">
        <v>60</v>
      </c>
      <c r="AY180">
        <v>80</v>
      </c>
      <c r="AZ180">
        <v>78</v>
      </c>
      <c r="BA180">
        <v>67</v>
      </c>
      <c r="BB180">
        <v>74</v>
      </c>
      <c r="BC180">
        <v>83</v>
      </c>
      <c r="BD180">
        <v>80</v>
      </c>
      <c r="BE180">
        <v>84</v>
      </c>
      <c r="BF180">
        <v>78</v>
      </c>
      <c r="BG180">
        <v>78</v>
      </c>
      <c r="BH180">
        <v>71</v>
      </c>
      <c r="BI180">
        <v>83</v>
      </c>
      <c r="BJ180">
        <v>59</v>
      </c>
      <c r="BK180">
        <v>91</v>
      </c>
      <c r="BL180">
        <v>74</v>
      </c>
      <c r="BM180">
        <v>75</v>
      </c>
      <c r="BN180">
        <v>74</v>
      </c>
      <c r="BO180">
        <v>76</v>
      </c>
      <c r="BP180">
        <v>77</v>
      </c>
      <c r="BQ180">
        <v>72</v>
      </c>
      <c r="BR180">
        <v>66</v>
      </c>
      <c r="BS180">
        <v>78</v>
      </c>
      <c r="BT180">
        <v>74</v>
      </c>
      <c r="BU180">
        <v>78</v>
      </c>
      <c r="BV180">
        <v>75</v>
      </c>
      <c r="BW180">
        <v>15</v>
      </c>
      <c r="BX180">
        <v>7</v>
      </c>
      <c r="BY180">
        <v>14</v>
      </c>
      <c r="BZ180">
        <v>5</v>
      </c>
      <c r="CA180">
        <v>7</v>
      </c>
      <c r="CB180">
        <v>77</v>
      </c>
      <c r="CC180">
        <v>78</v>
      </c>
      <c r="CD180">
        <v>77</v>
      </c>
      <c r="CE180">
        <v>77</v>
      </c>
      <c r="CF180">
        <v>77</v>
      </c>
      <c r="CG180">
        <v>78</v>
      </c>
      <c r="CH180">
        <v>79</v>
      </c>
      <c r="CI180">
        <v>81</v>
      </c>
      <c r="CJ180">
        <v>79</v>
      </c>
      <c r="CK180">
        <v>81</v>
      </c>
      <c r="CL180">
        <v>81</v>
      </c>
      <c r="CM180">
        <v>79</v>
      </c>
      <c r="CN180">
        <v>81</v>
      </c>
      <c r="CO180">
        <v>81</v>
      </c>
      <c r="CP180">
        <v>77</v>
      </c>
      <c r="CQ180">
        <v>81</v>
      </c>
      <c r="CR180">
        <v>18</v>
      </c>
    </row>
    <row r="181" spans="1:96">
      <c r="A181">
        <v>180</v>
      </c>
      <c r="B181" t="s">
        <v>922</v>
      </c>
      <c r="C181" t="s">
        <v>734</v>
      </c>
      <c r="D181" t="s">
        <v>753</v>
      </c>
      <c r="E181" t="s">
        <v>147</v>
      </c>
      <c r="F181">
        <v>81</v>
      </c>
      <c r="G181">
        <v>20</v>
      </c>
      <c r="H181" t="s">
        <v>923</v>
      </c>
      <c r="I181" t="s">
        <v>924</v>
      </c>
      <c r="J181">
        <v>79</v>
      </c>
      <c r="K181">
        <v>81</v>
      </c>
      <c r="L181">
        <v>20000000</v>
      </c>
      <c r="M181" t="s">
        <v>925</v>
      </c>
      <c r="N181" t="s">
        <v>419</v>
      </c>
      <c r="O181" t="s">
        <v>319</v>
      </c>
      <c r="P181" t="s">
        <v>926</v>
      </c>
      <c r="Q181">
        <v>26</v>
      </c>
      <c r="R181">
        <v>186</v>
      </c>
      <c r="S181">
        <v>81</v>
      </c>
      <c r="T181">
        <v>2024</v>
      </c>
      <c r="U181">
        <v>423</v>
      </c>
      <c r="V181" t="s">
        <v>151</v>
      </c>
      <c r="W181">
        <v>56000</v>
      </c>
      <c r="X181">
        <v>34500000</v>
      </c>
      <c r="Y181" t="s">
        <v>749</v>
      </c>
      <c r="Z181">
        <v>2024</v>
      </c>
      <c r="AA181">
        <v>5</v>
      </c>
      <c r="AB181">
        <v>2019</v>
      </c>
      <c r="AC181" t="s">
        <v>103</v>
      </c>
      <c r="AD181" t="s">
        <v>104</v>
      </c>
      <c r="AE181">
        <v>3</v>
      </c>
      <c r="AF181">
        <v>3</v>
      </c>
      <c r="AG181">
        <v>3</v>
      </c>
      <c r="AH181" t="s">
        <v>319</v>
      </c>
      <c r="AI181" t="s">
        <v>321</v>
      </c>
      <c r="AJ181" t="s">
        <v>114</v>
      </c>
      <c r="AK181">
        <v>2</v>
      </c>
      <c r="AL181" t="s">
        <v>116</v>
      </c>
      <c r="AM181" t="s">
        <v>107</v>
      </c>
      <c r="AN181">
        <v>66</v>
      </c>
      <c r="AO181">
        <v>55</v>
      </c>
      <c r="AP181">
        <v>72</v>
      </c>
      <c r="AQ181">
        <v>71</v>
      </c>
      <c r="AR181">
        <v>81</v>
      </c>
      <c r="AS181">
        <v>78</v>
      </c>
      <c r="AT181">
        <v>76</v>
      </c>
      <c r="AU181">
        <v>43</v>
      </c>
      <c r="AV181">
        <v>84</v>
      </c>
      <c r="AW181">
        <v>77</v>
      </c>
      <c r="AX181">
        <v>73</v>
      </c>
      <c r="AY181">
        <v>68</v>
      </c>
      <c r="AZ181">
        <v>63</v>
      </c>
      <c r="BA181">
        <v>51</v>
      </c>
      <c r="BB181">
        <v>74</v>
      </c>
      <c r="BC181">
        <v>75</v>
      </c>
      <c r="BD181">
        <v>68</v>
      </c>
      <c r="BE181">
        <v>65</v>
      </c>
      <c r="BF181">
        <v>66</v>
      </c>
      <c r="BG181">
        <v>79</v>
      </c>
      <c r="BH181">
        <v>66</v>
      </c>
      <c r="BI181">
        <v>75</v>
      </c>
      <c r="BJ181">
        <v>86</v>
      </c>
      <c r="BK181">
        <v>78</v>
      </c>
      <c r="BL181">
        <v>78</v>
      </c>
      <c r="BM181">
        <v>56</v>
      </c>
      <c r="BN181">
        <v>74</v>
      </c>
      <c r="BO181">
        <v>80</v>
      </c>
      <c r="BP181">
        <v>58</v>
      </c>
      <c r="BQ181">
        <v>66</v>
      </c>
      <c r="BR181">
        <v>51</v>
      </c>
      <c r="BS181">
        <v>77</v>
      </c>
      <c r="BT181">
        <v>78</v>
      </c>
      <c r="BU181">
        <v>85</v>
      </c>
      <c r="BV181">
        <v>78</v>
      </c>
      <c r="BW181">
        <v>9</v>
      </c>
      <c r="BX181">
        <v>7</v>
      </c>
      <c r="BY181">
        <v>15</v>
      </c>
      <c r="BZ181">
        <v>7</v>
      </c>
      <c r="CA181">
        <v>15</v>
      </c>
      <c r="CB181">
        <v>70</v>
      </c>
      <c r="CC181">
        <v>67</v>
      </c>
      <c r="CD181">
        <v>67</v>
      </c>
      <c r="CE181">
        <v>67</v>
      </c>
      <c r="CF181">
        <v>67</v>
      </c>
      <c r="CG181">
        <v>67</v>
      </c>
      <c r="CH181">
        <v>71</v>
      </c>
      <c r="CI181">
        <v>73</v>
      </c>
      <c r="CJ181">
        <v>75</v>
      </c>
      <c r="CK181">
        <v>73</v>
      </c>
      <c r="CL181">
        <v>80</v>
      </c>
      <c r="CM181">
        <v>81</v>
      </c>
      <c r="CN181">
        <v>80</v>
      </c>
      <c r="CO181">
        <v>80</v>
      </c>
      <c r="CP181">
        <v>81</v>
      </c>
      <c r="CQ181">
        <v>80</v>
      </c>
      <c r="CR181">
        <v>20</v>
      </c>
    </row>
    <row r="182" spans="1:96">
      <c r="A182">
        <v>181</v>
      </c>
      <c r="B182" t="s">
        <v>927</v>
      </c>
      <c r="C182" t="s">
        <v>734</v>
      </c>
      <c r="D182" t="s">
        <v>749</v>
      </c>
      <c r="E182" t="s">
        <v>353</v>
      </c>
      <c r="F182">
        <v>81</v>
      </c>
      <c r="G182">
        <v>20</v>
      </c>
      <c r="H182" t="s">
        <v>928</v>
      </c>
      <c r="I182" t="s">
        <v>929</v>
      </c>
      <c r="J182">
        <v>80</v>
      </c>
      <c r="K182">
        <v>86</v>
      </c>
      <c r="L182">
        <v>31500000</v>
      </c>
      <c r="M182" t="s">
        <v>838</v>
      </c>
      <c r="N182" t="s">
        <v>242</v>
      </c>
      <c r="O182" t="s">
        <v>142</v>
      </c>
      <c r="P182" t="s">
        <v>930</v>
      </c>
      <c r="Q182">
        <v>21</v>
      </c>
      <c r="R182">
        <v>171</v>
      </c>
      <c r="S182">
        <v>64</v>
      </c>
      <c r="T182">
        <v>2027</v>
      </c>
      <c r="U182">
        <v>446</v>
      </c>
      <c r="V182" t="s">
        <v>235</v>
      </c>
      <c r="W182">
        <v>38000</v>
      </c>
      <c r="X182">
        <v>59900000</v>
      </c>
      <c r="Y182" t="s">
        <v>749</v>
      </c>
      <c r="Z182">
        <v>2025</v>
      </c>
      <c r="AA182">
        <v>30</v>
      </c>
      <c r="AB182">
        <v>2021</v>
      </c>
      <c r="AC182" t="s">
        <v>103</v>
      </c>
      <c r="AD182" t="s">
        <v>104</v>
      </c>
      <c r="AE182">
        <v>3</v>
      </c>
      <c r="AF182">
        <v>3</v>
      </c>
      <c r="AG182">
        <v>1</v>
      </c>
      <c r="AH182" t="s">
        <v>103</v>
      </c>
      <c r="AI182" t="s">
        <v>145</v>
      </c>
      <c r="AJ182" t="s">
        <v>103</v>
      </c>
      <c r="AK182" t="s">
        <v>103</v>
      </c>
      <c r="AL182" t="s">
        <v>107</v>
      </c>
      <c r="AM182" t="s">
        <v>116</v>
      </c>
      <c r="AN182">
        <v>94</v>
      </c>
      <c r="AO182">
        <v>54</v>
      </c>
      <c r="AP182">
        <v>73</v>
      </c>
      <c r="AQ182">
        <v>83</v>
      </c>
      <c r="AR182">
        <v>72</v>
      </c>
      <c r="AS182">
        <v>70</v>
      </c>
      <c r="AT182">
        <v>83</v>
      </c>
      <c r="AU182">
        <v>57</v>
      </c>
      <c r="AV182">
        <v>49</v>
      </c>
      <c r="AW182">
        <v>75</v>
      </c>
      <c r="AX182">
        <v>43</v>
      </c>
      <c r="AY182">
        <v>85</v>
      </c>
      <c r="AZ182">
        <v>74</v>
      </c>
      <c r="BA182">
        <v>47</v>
      </c>
      <c r="BB182">
        <v>58</v>
      </c>
      <c r="BC182">
        <v>79</v>
      </c>
      <c r="BD182">
        <v>96</v>
      </c>
      <c r="BE182">
        <v>93</v>
      </c>
      <c r="BF182">
        <v>91</v>
      </c>
      <c r="BG182">
        <v>76</v>
      </c>
      <c r="BH182">
        <v>90</v>
      </c>
      <c r="BI182">
        <v>53</v>
      </c>
      <c r="BJ182">
        <v>72</v>
      </c>
      <c r="BK182">
        <v>84</v>
      </c>
      <c r="BL182">
        <v>61</v>
      </c>
      <c r="BM182">
        <v>48</v>
      </c>
      <c r="BN182">
        <v>74</v>
      </c>
      <c r="BO182">
        <v>71</v>
      </c>
      <c r="BP182">
        <v>76</v>
      </c>
      <c r="BQ182">
        <v>75</v>
      </c>
      <c r="BR182">
        <v>39</v>
      </c>
      <c r="BS182">
        <v>71</v>
      </c>
      <c r="BT182">
        <v>73</v>
      </c>
      <c r="BU182">
        <v>77</v>
      </c>
      <c r="BV182">
        <v>74</v>
      </c>
      <c r="BW182">
        <v>12</v>
      </c>
      <c r="BX182">
        <v>7</v>
      </c>
      <c r="BY182">
        <v>8</v>
      </c>
      <c r="BZ182">
        <v>13</v>
      </c>
      <c r="CA182">
        <v>14</v>
      </c>
      <c r="CB182">
        <v>70</v>
      </c>
      <c r="CC182">
        <v>78</v>
      </c>
      <c r="CD182">
        <v>74</v>
      </c>
      <c r="CE182">
        <v>74</v>
      </c>
      <c r="CF182">
        <v>74</v>
      </c>
      <c r="CG182">
        <v>78</v>
      </c>
      <c r="CH182">
        <v>78</v>
      </c>
      <c r="CI182">
        <v>81</v>
      </c>
      <c r="CJ182">
        <v>75</v>
      </c>
      <c r="CK182">
        <v>81</v>
      </c>
      <c r="CL182">
        <v>81</v>
      </c>
      <c r="CM182">
        <v>75</v>
      </c>
      <c r="CN182">
        <v>81</v>
      </c>
      <c r="CO182">
        <v>80</v>
      </c>
      <c r="CP182">
        <v>73</v>
      </c>
      <c r="CQ182">
        <v>80</v>
      </c>
      <c r="CR182">
        <v>20</v>
      </c>
    </row>
    <row r="183" spans="1:96">
      <c r="A183">
        <v>182</v>
      </c>
      <c r="B183" t="s">
        <v>931</v>
      </c>
      <c r="C183" t="s">
        <v>734</v>
      </c>
      <c r="D183" t="s">
        <v>419</v>
      </c>
      <c r="E183" t="s">
        <v>353</v>
      </c>
      <c r="F183">
        <v>81</v>
      </c>
      <c r="G183">
        <v>20</v>
      </c>
      <c r="H183" t="s">
        <v>932</v>
      </c>
      <c r="I183" t="s">
        <v>933</v>
      </c>
      <c r="J183">
        <v>82</v>
      </c>
      <c r="K183">
        <v>84</v>
      </c>
      <c r="L183">
        <v>33500000</v>
      </c>
      <c r="M183" t="s">
        <v>419</v>
      </c>
      <c r="N183" t="s">
        <v>419</v>
      </c>
      <c r="O183" t="s">
        <v>127</v>
      </c>
      <c r="P183" t="s">
        <v>934</v>
      </c>
      <c r="Q183">
        <v>26</v>
      </c>
      <c r="R183">
        <v>195</v>
      </c>
      <c r="S183">
        <v>94</v>
      </c>
      <c r="T183">
        <v>1726</v>
      </c>
      <c r="U183">
        <v>392</v>
      </c>
      <c r="V183" t="s">
        <v>235</v>
      </c>
      <c r="W183">
        <v>62000</v>
      </c>
      <c r="X183">
        <v>59500000</v>
      </c>
      <c r="Y183" t="s">
        <v>419</v>
      </c>
      <c r="Z183">
        <v>2025</v>
      </c>
      <c r="AA183">
        <v>4</v>
      </c>
      <c r="AB183">
        <v>2015</v>
      </c>
      <c r="AC183" t="s">
        <v>103</v>
      </c>
      <c r="AD183" t="s">
        <v>104</v>
      </c>
      <c r="AE183">
        <v>4</v>
      </c>
      <c r="AF183">
        <v>2</v>
      </c>
      <c r="AG183">
        <v>2</v>
      </c>
      <c r="AH183" t="s">
        <v>103</v>
      </c>
      <c r="AI183" t="s">
        <v>129</v>
      </c>
      <c r="AJ183" t="s">
        <v>103</v>
      </c>
      <c r="AK183" t="s">
        <v>103</v>
      </c>
      <c r="AL183" t="s">
        <v>116</v>
      </c>
      <c r="AM183" t="s">
        <v>116</v>
      </c>
      <c r="AN183">
        <v>67</v>
      </c>
      <c r="AO183">
        <v>37</v>
      </c>
      <c r="AP183">
        <v>59</v>
      </c>
      <c r="AQ183">
        <v>61</v>
      </c>
      <c r="AR183">
        <v>83</v>
      </c>
      <c r="AS183">
        <v>85</v>
      </c>
      <c r="AT183">
        <v>35</v>
      </c>
      <c r="AU183">
        <v>32</v>
      </c>
      <c r="AV183">
        <v>83</v>
      </c>
      <c r="AW183">
        <v>78</v>
      </c>
      <c r="AX183">
        <v>33</v>
      </c>
      <c r="AY183">
        <v>60</v>
      </c>
      <c r="AZ183">
        <v>37</v>
      </c>
      <c r="BA183">
        <v>27</v>
      </c>
      <c r="BB183">
        <v>68</v>
      </c>
      <c r="BC183">
        <v>66</v>
      </c>
      <c r="BD183">
        <v>59</v>
      </c>
      <c r="BE183">
        <v>73</v>
      </c>
      <c r="BF183">
        <v>48</v>
      </c>
      <c r="BG183">
        <v>77</v>
      </c>
      <c r="BH183">
        <v>40</v>
      </c>
      <c r="BI183">
        <v>60</v>
      </c>
      <c r="BJ183">
        <v>70</v>
      </c>
      <c r="BK183">
        <v>78</v>
      </c>
      <c r="BL183">
        <v>92</v>
      </c>
      <c r="BM183">
        <v>26</v>
      </c>
      <c r="BN183">
        <v>79</v>
      </c>
      <c r="BO183">
        <v>81</v>
      </c>
      <c r="BP183">
        <v>33</v>
      </c>
      <c r="BQ183">
        <v>56</v>
      </c>
      <c r="BR183">
        <v>38</v>
      </c>
      <c r="BS183">
        <v>74</v>
      </c>
      <c r="BT183">
        <v>83</v>
      </c>
      <c r="BU183">
        <v>84</v>
      </c>
      <c r="BV183">
        <v>81</v>
      </c>
      <c r="BW183">
        <v>11</v>
      </c>
      <c r="BX183">
        <v>8</v>
      </c>
      <c r="BY183">
        <v>7</v>
      </c>
      <c r="BZ183">
        <v>9</v>
      </c>
      <c r="CA183">
        <v>14</v>
      </c>
      <c r="CB183">
        <v>59</v>
      </c>
      <c r="CC183">
        <v>55</v>
      </c>
      <c r="CD183">
        <v>57</v>
      </c>
      <c r="CE183">
        <v>57</v>
      </c>
      <c r="CF183">
        <v>57</v>
      </c>
      <c r="CG183">
        <v>55</v>
      </c>
      <c r="CH183">
        <v>61</v>
      </c>
      <c r="CI183">
        <v>61</v>
      </c>
      <c r="CJ183">
        <v>68</v>
      </c>
      <c r="CK183">
        <v>61</v>
      </c>
      <c r="CL183">
        <v>74</v>
      </c>
      <c r="CM183">
        <v>79</v>
      </c>
      <c r="CN183">
        <v>74</v>
      </c>
      <c r="CO183">
        <v>76</v>
      </c>
      <c r="CP183">
        <v>84</v>
      </c>
      <c r="CQ183">
        <v>76</v>
      </c>
      <c r="CR183">
        <v>20</v>
      </c>
    </row>
    <row r="184" spans="1:96">
      <c r="A184">
        <v>183</v>
      </c>
      <c r="B184" t="s">
        <v>935</v>
      </c>
      <c r="C184" t="s">
        <v>734</v>
      </c>
      <c r="D184" t="s">
        <v>419</v>
      </c>
      <c r="E184" t="s">
        <v>110</v>
      </c>
      <c r="F184">
        <v>80</v>
      </c>
      <c r="G184">
        <v>20</v>
      </c>
      <c r="H184" t="s">
        <v>936</v>
      </c>
      <c r="I184" t="s">
        <v>935</v>
      </c>
      <c r="J184">
        <v>81</v>
      </c>
      <c r="K184">
        <v>82</v>
      </c>
      <c r="L184">
        <v>24000000</v>
      </c>
      <c r="M184" t="s">
        <v>419</v>
      </c>
      <c r="N184" t="s">
        <v>419</v>
      </c>
      <c r="O184" t="s">
        <v>167</v>
      </c>
      <c r="P184" t="s">
        <v>937</v>
      </c>
      <c r="Q184">
        <v>29</v>
      </c>
      <c r="R184">
        <v>194</v>
      </c>
      <c r="S184">
        <v>100</v>
      </c>
      <c r="T184">
        <v>1924</v>
      </c>
      <c r="U184">
        <v>404</v>
      </c>
      <c r="V184" t="s">
        <v>110</v>
      </c>
      <c r="W184">
        <v>120000</v>
      </c>
      <c r="X184">
        <v>47400000</v>
      </c>
      <c r="Y184" t="s">
        <v>114</v>
      </c>
      <c r="Z184">
        <v>2024</v>
      </c>
      <c r="AA184">
        <v>5</v>
      </c>
      <c r="AB184">
        <v>2019</v>
      </c>
      <c r="AC184" t="s">
        <v>103</v>
      </c>
      <c r="AD184" t="s">
        <v>104</v>
      </c>
      <c r="AE184">
        <v>3</v>
      </c>
      <c r="AF184">
        <v>2</v>
      </c>
      <c r="AG184">
        <v>3</v>
      </c>
      <c r="AH184" t="s">
        <v>167</v>
      </c>
      <c r="AI184" t="s">
        <v>170</v>
      </c>
      <c r="AJ184" t="s">
        <v>419</v>
      </c>
      <c r="AK184">
        <v>6</v>
      </c>
      <c r="AL184" t="s">
        <v>107</v>
      </c>
      <c r="AM184" t="s">
        <v>116</v>
      </c>
      <c r="AN184">
        <v>48</v>
      </c>
      <c r="AO184">
        <v>57</v>
      </c>
      <c r="AP184">
        <v>68</v>
      </c>
      <c r="AQ184">
        <v>67</v>
      </c>
      <c r="AR184">
        <v>80</v>
      </c>
      <c r="AS184">
        <v>84</v>
      </c>
      <c r="AT184">
        <v>51</v>
      </c>
      <c r="AU184">
        <v>48</v>
      </c>
      <c r="AV184">
        <v>85</v>
      </c>
      <c r="AW184">
        <v>78</v>
      </c>
      <c r="AX184">
        <v>49</v>
      </c>
      <c r="AY184">
        <v>71</v>
      </c>
      <c r="AZ184">
        <v>57</v>
      </c>
      <c r="BA184">
        <v>46</v>
      </c>
      <c r="BB184">
        <v>80</v>
      </c>
      <c r="BC184">
        <v>73</v>
      </c>
      <c r="BD184">
        <v>44</v>
      </c>
      <c r="BE184">
        <v>52</v>
      </c>
      <c r="BF184">
        <v>39</v>
      </c>
      <c r="BG184">
        <v>77</v>
      </c>
      <c r="BH184">
        <v>33</v>
      </c>
      <c r="BI184">
        <v>82</v>
      </c>
      <c r="BJ184">
        <v>87</v>
      </c>
      <c r="BK184">
        <v>70</v>
      </c>
      <c r="BL184">
        <v>90</v>
      </c>
      <c r="BM184">
        <v>52</v>
      </c>
      <c r="BN184">
        <v>84</v>
      </c>
      <c r="BO184">
        <v>82</v>
      </c>
      <c r="BP184">
        <v>61</v>
      </c>
      <c r="BQ184">
        <v>68</v>
      </c>
      <c r="BR184">
        <v>68</v>
      </c>
      <c r="BS184">
        <v>77</v>
      </c>
      <c r="BT184">
        <v>77</v>
      </c>
      <c r="BU184">
        <v>82</v>
      </c>
      <c r="BV184">
        <v>76</v>
      </c>
      <c r="BW184">
        <v>14</v>
      </c>
      <c r="BX184">
        <v>16</v>
      </c>
      <c r="BY184">
        <v>9</v>
      </c>
      <c r="BZ184">
        <v>14</v>
      </c>
      <c r="CA184">
        <v>9</v>
      </c>
      <c r="CB184">
        <v>70</v>
      </c>
      <c r="CC184">
        <v>62</v>
      </c>
      <c r="CD184">
        <v>66</v>
      </c>
      <c r="CE184">
        <v>66</v>
      </c>
      <c r="CF184">
        <v>66</v>
      </c>
      <c r="CG184">
        <v>62</v>
      </c>
      <c r="CH184">
        <v>70</v>
      </c>
      <c r="CI184">
        <v>68</v>
      </c>
      <c r="CJ184">
        <v>76</v>
      </c>
      <c r="CK184">
        <v>68</v>
      </c>
      <c r="CL184">
        <v>74</v>
      </c>
      <c r="CM184">
        <v>81</v>
      </c>
      <c r="CN184">
        <v>74</v>
      </c>
      <c r="CO184">
        <v>75</v>
      </c>
      <c r="CP184">
        <v>82</v>
      </c>
      <c r="CQ184">
        <v>75</v>
      </c>
      <c r="CR184">
        <v>23</v>
      </c>
    </row>
    <row r="185" spans="1:96">
      <c r="A185">
        <v>184</v>
      </c>
      <c r="B185" t="s">
        <v>938</v>
      </c>
      <c r="C185" t="s">
        <v>734</v>
      </c>
      <c r="D185" t="s">
        <v>753</v>
      </c>
      <c r="E185" t="s">
        <v>275</v>
      </c>
      <c r="F185">
        <v>80</v>
      </c>
      <c r="G185">
        <v>20</v>
      </c>
      <c r="H185" t="s">
        <v>938</v>
      </c>
      <c r="I185" t="s">
        <v>939</v>
      </c>
      <c r="J185">
        <v>80</v>
      </c>
      <c r="K185">
        <v>83</v>
      </c>
      <c r="L185">
        <v>25500000</v>
      </c>
      <c r="M185" t="s">
        <v>886</v>
      </c>
      <c r="N185" t="s">
        <v>765</v>
      </c>
      <c r="O185" t="s">
        <v>199</v>
      </c>
      <c r="P185" t="s">
        <v>940</v>
      </c>
      <c r="Q185">
        <v>25</v>
      </c>
      <c r="R185">
        <v>178</v>
      </c>
      <c r="S185">
        <v>68</v>
      </c>
      <c r="T185">
        <v>2020</v>
      </c>
      <c r="U185">
        <v>438</v>
      </c>
      <c r="V185" t="s">
        <v>256</v>
      </c>
      <c r="W185">
        <v>82000</v>
      </c>
      <c r="X185">
        <v>0</v>
      </c>
      <c r="Y185" t="s">
        <v>114</v>
      </c>
      <c r="Z185">
        <v>2023</v>
      </c>
      <c r="AA185">
        <v>3</v>
      </c>
      <c r="AB185">
        <v>2020</v>
      </c>
      <c r="AC185" t="b">
        <v>1</v>
      </c>
      <c r="AD185" t="s">
        <v>137</v>
      </c>
      <c r="AE185">
        <v>3</v>
      </c>
      <c r="AF185">
        <v>3</v>
      </c>
      <c r="AG185">
        <v>1</v>
      </c>
      <c r="AH185" t="s">
        <v>103</v>
      </c>
      <c r="AI185" t="s">
        <v>201</v>
      </c>
      <c r="AJ185" t="s">
        <v>103</v>
      </c>
      <c r="AK185" t="s">
        <v>103</v>
      </c>
      <c r="AL185" t="s">
        <v>107</v>
      </c>
      <c r="AM185" t="s">
        <v>116</v>
      </c>
      <c r="AN185">
        <v>83</v>
      </c>
      <c r="AO185">
        <v>57</v>
      </c>
      <c r="AP185">
        <v>74</v>
      </c>
      <c r="AQ185">
        <v>78</v>
      </c>
      <c r="AR185">
        <v>77</v>
      </c>
      <c r="AS185">
        <v>69</v>
      </c>
      <c r="AT185">
        <v>79</v>
      </c>
      <c r="AU185">
        <v>53</v>
      </c>
      <c r="AV185">
        <v>72</v>
      </c>
      <c r="AW185">
        <v>78</v>
      </c>
      <c r="AX185">
        <v>43</v>
      </c>
      <c r="AY185">
        <v>79</v>
      </c>
      <c r="AZ185">
        <v>73</v>
      </c>
      <c r="BA185">
        <v>43</v>
      </c>
      <c r="BB185">
        <v>71</v>
      </c>
      <c r="BC185">
        <v>79</v>
      </c>
      <c r="BD185">
        <v>83</v>
      </c>
      <c r="BE185">
        <v>83</v>
      </c>
      <c r="BF185">
        <v>76</v>
      </c>
      <c r="BG185">
        <v>77</v>
      </c>
      <c r="BH185">
        <v>74</v>
      </c>
      <c r="BI185">
        <v>69</v>
      </c>
      <c r="BJ185">
        <v>64</v>
      </c>
      <c r="BK185">
        <v>73</v>
      </c>
      <c r="BL185">
        <v>65</v>
      </c>
      <c r="BM185">
        <v>58</v>
      </c>
      <c r="BN185">
        <v>77</v>
      </c>
      <c r="BO185">
        <v>78</v>
      </c>
      <c r="BP185">
        <v>76</v>
      </c>
      <c r="BQ185">
        <v>73</v>
      </c>
      <c r="BR185">
        <v>42</v>
      </c>
      <c r="BS185">
        <v>74</v>
      </c>
      <c r="BT185">
        <v>76</v>
      </c>
      <c r="BU185">
        <v>79</v>
      </c>
      <c r="BV185">
        <v>76</v>
      </c>
      <c r="BW185">
        <v>11</v>
      </c>
      <c r="BX185">
        <v>14</v>
      </c>
      <c r="BY185">
        <v>9</v>
      </c>
      <c r="BZ185">
        <v>5</v>
      </c>
      <c r="CA185">
        <v>12</v>
      </c>
      <c r="CB185">
        <v>72</v>
      </c>
      <c r="CC185">
        <v>75</v>
      </c>
      <c r="CD185">
        <v>74</v>
      </c>
      <c r="CE185">
        <v>74</v>
      </c>
      <c r="CF185">
        <v>74</v>
      </c>
      <c r="CG185">
        <v>75</v>
      </c>
      <c r="CH185">
        <v>77</v>
      </c>
      <c r="CI185">
        <v>78</v>
      </c>
      <c r="CJ185">
        <v>77</v>
      </c>
      <c r="CK185">
        <v>78</v>
      </c>
      <c r="CL185">
        <v>80</v>
      </c>
      <c r="CM185">
        <v>78</v>
      </c>
      <c r="CN185">
        <v>80</v>
      </c>
      <c r="CO185">
        <v>80</v>
      </c>
      <c r="CP185">
        <v>77</v>
      </c>
      <c r="CQ185">
        <v>80</v>
      </c>
      <c r="CR185">
        <v>20</v>
      </c>
    </row>
    <row r="186" spans="1:96">
      <c r="A186">
        <v>185</v>
      </c>
      <c r="B186" t="s">
        <v>941</v>
      </c>
      <c r="C186" t="s">
        <v>734</v>
      </c>
      <c r="D186" t="s">
        <v>419</v>
      </c>
      <c r="E186" t="s">
        <v>217</v>
      </c>
      <c r="F186">
        <v>80</v>
      </c>
      <c r="G186">
        <v>20</v>
      </c>
      <c r="H186" t="s">
        <v>942</v>
      </c>
      <c r="I186" t="s">
        <v>943</v>
      </c>
      <c r="J186">
        <v>71</v>
      </c>
      <c r="K186">
        <v>74</v>
      </c>
      <c r="L186">
        <v>2400000</v>
      </c>
      <c r="M186" t="s">
        <v>149</v>
      </c>
      <c r="N186" t="s">
        <v>97</v>
      </c>
      <c r="O186" t="s">
        <v>167</v>
      </c>
      <c r="P186" t="s">
        <v>944</v>
      </c>
      <c r="Q186">
        <v>26</v>
      </c>
      <c r="R186">
        <v>185</v>
      </c>
      <c r="S186">
        <v>68</v>
      </c>
      <c r="T186">
        <v>1928</v>
      </c>
      <c r="U186">
        <v>408</v>
      </c>
      <c r="V186" t="s">
        <v>945</v>
      </c>
      <c r="W186">
        <v>22000</v>
      </c>
      <c r="X186">
        <v>4700000</v>
      </c>
      <c r="Y186" t="s">
        <v>109</v>
      </c>
      <c r="Z186">
        <v>2024</v>
      </c>
      <c r="AA186">
        <v>4</v>
      </c>
      <c r="AB186">
        <v>2021</v>
      </c>
      <c r="AC186" t="s">
        <v>103</v>
      </c>
      <c r="AD186" t="s">
        <v>104</v>
      </c>
      <c r="AE186">
        <v>3</v>
      </c>
      <c r="AF186">
        <v>3</v>
      </c>
      <c r="AG186">
        <v>1</v>
      </c>
      <c r="AH186" t="s">
        <v>103</v>
      </c>
      <c r="AI186" t="s">
        <v>170</v>
      </c>
      <c r="AJ186" t="s">
        <v>103</v>
      </c>
      <c r="AK186" t="s">
        <v>103</v>
      </c>
      <c r="AL186" t="s">
        <v>116</v>
      </c>
      <c r="AM186" t="s">
        <v>116</v>
      </c>
      <c r="AN186">
        <v>68</v>
      </c>
      <c r="AO186">
        <v>64</v>
      </c>
      <c r="AP186">
        <v>69</v>
      </c>
      <c r="AQ186">
        <v>70</v>
      </c>
      <c r="AR186">
        <v>65</v>
      </c>
      <c r="AS186">
        <v>72</v>
      </c>
      <c r="AT186">
        <v>63</v>
      </c>
      <c r="AU186">
        <v>61</v>
      </c>
      <c r="AV186">
        <v>55</v>
      </c>
      <c r="AW186">
        <v>73</v>
      </c>
      <c r="AX186">
        <v>58</v>
      </c>
      <c r="AY186">
        <v>66</v>
      </c>
      <c r="AZ186">
        <v>62</v>
      </c>
      <c r="BA186">
        <v>67</v>
      </c>
      <c r="BB186">
        <v>72</v>
      </c>
      <c r="BC186">
        <v>72</v>
      </c>
      <c r="BD186">
        <v>68</v>
      </c>
      <c r="BE186">
        <v>68</v>
      </c>
      <c r="BF186">
        <v>74</v>
      </c>
      <c r="BG186">
        <v>71</v>
      </c>
      <c r="BH186">
        <v>76</v>
      </c>
      <c r="BI186">
        <v>70</v>
      </c>
      <c r="BJ186">
        <v>68</v>
      </c>
      <c r="BK186">
        <v>81</v>
      </c>
      <c r="BL186">
        <v>71</v>
      </c>
      <c r="BM186">
        <v>68</v>
      </c>
      <c r="BN186">
        <v>66</v>
      </c>
      <c r="BO186">
        <v>68</v>
      </c>
      <c r="BP186">
        <v>65</v>
      </c>
      <c r="BQ186">
        <v>70</v>
      </c>
      <c r="BR186">
        <v>64</v>
      </c>
      <c r="BS186">
        <v>74</v>
      </c>
      <c r="BT186">
        <v>64</v>
      </c>
      <c r="BU186">
        <v>68</v>
      </c>
      <c r="BV186">
        <v>64</v>
      </c>
      <c r="BW186">
        <v>8</v>
      </c>
      <c r="BX186">
        <v>7</v>
      </c>
      <c r="BY186">
        <v>8</v>
      </c>
      <c r="BZ186">
        <v>6</v>
      </c>
      <c r="CA186">
        <v>6</v>
      </c>
      <c r="CB186">
        <v>68</v>
      </c>
      <c r="CC186">
        <v>68</v>
      </c>
      <c r="CD186">
        <v>68</v>
      </c>
      <c r="CE186">
        <v>68</v>
      </c>
      <c r="CF186">
        <v>68</v>
      </c>
      <c r="CG186">
        <v>68</v>
      </c>
      <c r="CH186">
        <v>71</v>
      </c>
      <c r="CI186">
        <v>71</v>
      </c>
      <c r="CJ186">
        <v>73</v>
      </c>
      <c r="CK186">
        <v>71</v>
      </c>
      <c r="CL186">
        <v>71</v>
      </c>
      <c r="CM186">
        <v>72</v>
      </c>
      <c r="CN186">
        <v>71</v>
      </c>
      <c r="CO186">
        <v>70</v>
      </c>
      <c r="CP186">
        <v>68</v>
      </c>
      <c r="CQ186">
        <v>70</v>
      </c>
      <c r="CR186">
        <v>16</v>
      </c>
    </row>
    <row r="187" spans="1:96">
      <c r="A187">
        <v>186</v>
      </c>
      <c r="B187" t="s">
        <v>946</v>
      </c>
      <c r="C187" t="s">
        <v>734</v>
      </c>
      <c r="D187" t="s">
        <v>419</v>
      </c>
      <c r="E187" t="s">
        <v>98</v>
      </c>
      <c r="F187">
        <v>80</v>
      </c>
      <c r="G187">
        <v>20</v>
      </c>
      <c r="H187" t="s">
        <v>947</v>
      </c>
      <c r="I187" t="s">
        <v>948</v>
      </c>
      <c r="J187">
        <v>78</v>
      </c>
      <c r="K187">
        <v>80</v>
      </c>
      <c r="L187">
        <v>15000000</v>
      </c>
      <c r="M187" t="s">
        <v>815</v>
      </c>
      <c r="N187" t="s">
        <v>419</v>
      </c>
      <c r="O187" t="s">
        <v>142</v>
      </c>
      <c r="P187" t="s">
        <v>949</v>
      </c>
      <c r="Q187">
        <v>27</v>
      </c>
      <c r="R187">
        <v>180</v>
      </c>
      <c r="S187">
        <v>75</v>
      </c>
      <c r="T187">
        <v>1978</v>
      </c>
      <c r="U187">
        <v>423</v>
      </c>
      <c r="V187" t="s">
        <v>98</v>
      </c>
      <c r="W187">
        <v>95000</v>
      </c>
      <c r="X187">
        <v>28900000</v>
      </c>
      <c r="Y187" t="s">
        <v>114</v>
      </c>
      <c r="Z187">
        <v>2025</v>
      </c>
      <c r="AA187">
        <v>6</v>
      </c>
      <c r="AB187">
        <v>2020</v>
      </c>
      <c r="AC187" t="s">
        <v>103</v>
      </c>
      <c r="AD187" t="s">
        <v>137</v>
      </c>
      <c r="AE187">
        <v>3</v>
      </c>
      <c r="AF187">
        <v>2</v>
      </c>
      <c r="AG187">
        <v>3</v>
      </c>
      <c r="AH187" t="s">
        <v>142</v>
      </c>
      <c r="AI187" t="s">
        <v>145</v>
      </c>
      <c r="AJ187" t="s">
        <v>419</v>
      </c>
      <c r="AK187">
        <v>5</v>
      </c>
      <c r="AL187" t="s">
        <v>116</v>
      </c>
      <c r="AM187" t="s">
        <v>107</v>
      </c>
      <c r="AN187">
        <v>76</v>
      </c>
      <c r="AO187">
        <v>53</v>
      </c>
      <c r="AP187">
        <v>70</v>
      </c>
      <c r="AQ187">
        <v>70</v>
      </c>
      <c r="AR187">
        <v>79</v>
      </c>
      <c r="AS187">
        <v>75</v>
      </c>
      <c r="AT187">
        <v>63</v>
      </c>
      <c r="AU187">
        <v>48</v>
      </c>
      <c r="AV187">
        <v>76</v>
      </c>
      <c r="AW187">
        <v>77</v>
      </c>
      <c r="AX187">
        <v>52</v>
      </c>
      <c r="AY187">
        <v>67</v>
      </c>
      <c r="AZ187">
        <v>62</v>
      </c>
      <c r="BA187">
        <v>59</v>
      </c>
      <c r="BB187">
        <v>72</v>
      </c>
      <c r="BC187">
        <v>74</v>
      </c>
      <c r="BD187">
        <v>80</v>
      </c>
      <c r="BE187">
        <v>72</v>
      </c>
      <c r="BF187">
        <v>67</v>
      </c>
      <c r="BG187">
        <v>76</v>
      </c>
      <c r="BH187">
        <v>68</v>
      </c>
      <c r="BI187">
        <v>63</v>
      </c>
      <c r="BJ187">
        <v>89</v>
      </c>
      <c r="BK187">
        <v>71</v>
      </c>
      <c r="BL187">
        <v>76</v>
      </c>
      <c r="BM187">
        <v>56</v>
      </c>
      <c r="BN187">
        <v>72</v>
      </c>
      <c r="BO187">
        <v>80</v>
      </c>
      <c r="BP187">
        <v>51</v>
      </c>
      <c r="BQ187">
        <v>66</v>
      </c>
      <c r="BR187">
        <v>53</v>
      </c>
      <c r="BS187">
        <v>76</v>
      </c>
      <c r="BT187">
        <v>78</v>
      </c>
      <c r="BU187">
        <v>81</v>
      </c>
      <c r="BV187">
        <v>79</v>
      </c>
      <c r="BW187">
        <v>10</v>
      </c>
      <c r="BX187">
        <v>7</v>
      </c>
      <c r="BY187">
        <v>7</v>
      </c>
      <c r="BZ187">
        <v>16</v>
      </c>
      <c r="CA187">
        <v>10</v>
      </c>
      <c r="CB187">
        <v>68</v>
      </c>
      <c r="CC187">
        <v>67</v>
      </c>
      <c r="CD187">
        <v>66</v>
      </c>
      <c r="CE187">
        <v>66</v>
      </c>
      <c r="CF187">
        <v>66</v>
      </c>
      <c r="CG187">
        <v>67</v>
      </c>
      <c r="CH187">
        <v>71</v>
      </c>
      <c r="CI187">
        <v>71</v>
      </c>
      <c r="CJ187">
        <v>74</v>
      </c>
      <c r="CK187">
        <v>71</v>
      </c>
      <c r="CL187">
        <v>78</v>
      </c>
      <c r="CM187">
        <v>79</v>
      </c>
      <c r="CN187">
        <v>78</v>
      </c>
      <c r="CO187">
        <v>79</v>
      </c>
      <c r="CP187">
        <v>80</v>
      </c>
      <c r="CQ187">
        <v>79</v>
      </c>
      <c r="CR187">
        <v>21</v>
      </c>
    </row>
    <row r="188" spans="1:96">
      <c r="A188">
        <v>187</v>
      </c>
      <c r="B188" t="s">
        <v>950</v>
      </c>
      <c r="C188" t="s">
        <v>734</v>
      </c>
      <c r="D188" t="s">
        <v>749</v>
      </c>
      <c r="E188" t="s">
        <v>110</v>
      </c>
      <c r="F188">
        <v>80</v>
      </c>
      <c r="G188">
        <v>20</v>
      </c>
      <c r="H188" t="s">
        <v>951</v>
      </c>
      <c r="I188" t="s">
        <v>952</v>
      </c>
      <c r="J188">
        <v>80</v>
      </c>
      <c r="K188">
        <v>80</v>
      </c>
      <c r="L188">
        <v>18000000</v>
      </c>
      <c r="M188" t="s">
        <v>749</v>
      </c>
      <c r="N188" t="s">
        <v>749</v>
      </c>
      <c r="O188" t="s">
        <v>112</v>
      </c>
      <c r="P188" t="s">
        <v>953</v>
      </c>
      <c r="Q188">
        <v>30</v>
      </c>
      <c r="R188">
        <v>184</v>
      </c>
      <c r="S188">
        <v>78</v>
      </c>
      <c r="T188">
        <v>2118</v>
      </c>
      <c r="U188">
        <v>446</v>
      </c>
      <c r="V188" t="s">
        <v>405</v>
      </c>
      <c r="W188">
        <v>95000</v>
      </c>
      <c r="X188">
        <v>30600000</v>
      </c>
      <c r="Y188" t="s">
        <v>114</v>
      </c>
      <c r="Z188">
        <v>2024</v>
      </c>
      <c r="AA188">
        <v>6</v>
      </c>
      <c r="AB188">
        <v>2019</v>
      </c>
      <c r="AC188" t="s">
        <v>103</v>
      </c>
      <c r="AD188" t="s">
        <v>104</v>
      </c>
      <c r="AE188">
        <v>4</v>
      </c>
      <c r="AF188">
        <v>3</v>
      </c>
      <c r="AG188">
        <v>2</v>
      </c>
      <c r="AH188" t="s">
        <v>103</v>
      </c>
      <c r="AI188" t="s">
        <v>115</v>
      </c>
      <c r="AJ188" t="s">
        <v>103</v>
      </c>
      <c r="AK188" t="s">
        <v>103</v>
      </c>
      <c r="AL188" t="s">
        <v>116</v>
      </c>
      <c r="AM188" t="s">
        <v>107</v>
      </c>
      <c r="AN188">
        <v>72</v>
      </c>
      <c r="AO188">
        <v>67</v>
      </c>
      <c r="AP188">
        <v>73</v>
      </c>
      <c r="AQ188">
        <v>74</v>
      </c>
      <c r="AR188">
        <v>81</v>
      </c>
      <c r="AS188">
        <v>79</v>
      </c>
      <c r="AT188">
        <v>76</v>
      </c>
      <c r="AU188">
        <v>59</v>
      </c>
      <c r="AV188">
        <v>76</v>
      </c>
      <c r="AW188">
        <v>77</v>
      </c>
      <c r="AX188">
        <v>69</v>
      </c>
      <c r="AY188">
        <v>73</v>
      </c>
      <c r="AZ188">
        <v>73</v>
      </c>
      <c r="BA188">
        <v>73</v>
      </c>
      <c r="BB188">
        <v>74</v>
      </c>
      <c r="BC188">
        <v>79</v>
      </c>
      <c r="BD188">
        <v>66</v>
      </c>
      <c r="BE188">
        <v>77</v>
      </c>
      <c r="BF188">
        <v>62</v>
      </c>
      <c r="BG188">
        <v>77</v>
      </c>
      <c r="BH188">
        <v>65</v>
      </c>
      <c r="BI188">
        <v>84</v>
      </c>
      <c r="BJ188">
        <v>75</v>
      </c>
      <c r="BK188">
        <v>77</v>
      </c>
      <c r="BL188">
        <v>80</v>
      </c>
      <c r="BM188">
        <v>69</v>
      </c>
      <c r="BN188">
        <v>78</v>
      </c>
      <c r="BO188">
        <v>82</v>
      </c>
      <c r="BP188">
        <v>69</v>
      </c>
      <c r="BQ188">
        <v>64</v>
      </c>
      <c r="BR188">
        <v>67</v>
      </c>
      <c r="BS188">
        <v>78</v>
      </c>
      <c r="BT188">
        <v>82</v>
      </c>
      <c r="BU188">
        <v>82</v>
      </c>
      <c r="BV188">
        <v>80</v>
      </c>
      <c r="BW188">
        <v>14</v>
      </c>
      <c r="BX188">
        <v>5</v>
      </c>
      <c r="BY188">
        <v>15</v>
      </c>
      <c r="BZ188">
        <v>14</v>
      </c>
      <c r="CA188">
        <v>5</v>
      </c>
      <c r="CB188">
        <v>75</v>
      </c>
      <c r="CC188">
        <v>72</v>
      </c>
      <c r="CD188">
        <v>72</v>
      </c>
      <c r="CE188">
        <v>72</v>
      </c>
      <c r="CF188">
        <v>72</v>
      </c>
      <c r="CG188">
        <v>72</v>
      </c>
      <c r="CH188">
        <v>74</v>
      </c>
      <c r="CI188">
        <v>75</v>
      </c>
      <c r="CJ188">
        <v>76</v>
      </c>
      <c r="CK188">
        <v>75</v>
      </c>
      <c r="CL188">
        <v>80</v>
      </c>
      <c r="CM188">
        <v>80</v>
      </c>
      <c r="CN188">
        <v>80</v>
      </c>
      <c r="CO188">
        <v>80</v>
      </c>
      <c r="CP188">
        <v>80</v>
      </c>
      <c r="CQ188">
        <v>80</v>
      </c>
      <c r="CR188">
        <v>19</v>
      </c>
    </row>
    <row r="189" spans="1:96">
      <c r="A189">
        <v>188</v>
      </c>
      <c r="B189" t="s">
        <v>954</v>
      </c>
      <c r="C189" t="s">
        <v>734</v>
      </c>
      <c r="D189" t="s">
        <v>419</v>
      </c>
      <c r="E189" t="s">
        <v>147</v>
      </c>
      <c r="F189">
        <v>79</v>
      </c>
      <c r="G189">
        <v>20</v>
      </c>
      <c r="H189" t="s">
        <v>954</v>
      </c>
      <c r="I189" t="s">
        <v>955</v>
      </c>
      <c r="J189">
        <v>79</v>
      </c>
      <c r="K189">
        <v>84</v>
      </c>
      <c r="L189">
        <v>23000000</v>
      </c>
      <c r="M189" t="s">
        <v>419</v>
      </c>
      <c r="N189" t="s">
        <v>419</v>
      </c>
      <c r="O189" t="s">
        <v>560</v>
      </c>
      <c r="P189" t="s">
        <v>956</v>
      </c>
      <c r="Q189">
        <v>25</v>
      </c>
      <c r="R189">
        <v>190</v>
      </c>
      <c r="S189">
        <v>81</v>
      </c>
      <c r="T189">
        <v>1763</v>
      </c>
      <c r="U189">
        <v>395</v>
      </c>
      <c r="V189" t="s">
        <v>323</v>
      </c>
      <c r="W189">
        <v>49000</v>
      </c>
      <c r="X189">
        <v>40800000</v>
      </c>
      <c r="Y189" t="s">
        <v>419</v>
      </c>
      <c r="Z189">
        <v>2025</v>
      </c>
      <c r="AA189">
        <v>3</v>
      </c>
      <c r="AB189">
        <v>2022</v>
      </c>
      <c r="AC189" t="s">
        <v>103</v>
      </c>
      <c r="AD189" t="s">
        <v>104</v>
      </c>
      <c r="AE189">
        <v>3</v>
      </c>
      <c r="AF189">
        <v>2</v>
      </c>
      <c r="AG189">
        <v>1</v>
      </c>
      <c r="AH189" t="s">
        <v>103</v>
      </c>
      <c r="AI189" t="s">
        <v>103</v>
      </c>
      <c r="AJ189" t="s">
        <v>103</v>
      </c>
      <c r="AK189" t="s">
        <v>103</v>
      </c>
      <c r="AL189" t="s">
        <v>116</v>
      </c>
      <c r="AM189" t="s">
        <v>107</v>
      </c>
      <c r="AN189">
        <v>80</v>
      </c>
      <c r="AO189">
        <v>33</v>
      </c>
      <c r="AP189">
        <v>57</v>
      </c>
      <c r="AQ189">
        <v>62</v>
      </c>
      <c r="AR189">
        <v>79</v>
      </c>
      <c r="AS189">
        <v>84</v>
      </c>
      <c r="AT189">
        <v>35</v>
      </c>
      <c r="AU189">
        <v>23</v>
      </c>
      <c r="AV189">
        <v>75</v>
      </c>
      <c r="AW189">
        <v>72</v>
      </c>
      <c r="AX189">
        <v>24</v>
      </c>
      <c r="AY189">
        <v>57</v>
      </c>
      <c r="AZ189">
        <v>36</v>
      </c>
      <c r="BA189">
        <v>23</v>
      </c>
      <c r="BB189">
        <v>67</v>
      </c>
      <c r="BC189">
        <v>66</v>
      </c>
      <c r="BD189">
        <v>75</v>
      </c>
      <c r="BE189">
        <v>84</v>
      </c>
      <c r="BF189">
        <v>64</v>
      </c>
      <c r="BG189">
        <v>76</v>
      </c>
      <c r="BH189">
        <v>65</v>
      </c>
      <c r="BI189">
        <v>50</v>
      </c>
      <c r="BJ189">
        <v>80</v>
      </c>
      <c r="BK189">
        <v>77</v>
      </c>
      <c r="BL189">
        <v>88</v>
      </c>
      <c r="BM189">
        <v>37</v>
      </c>
      <c r="BN189">
        <v>82</v>
      </c>
      <c r="BO189">
        <v>78</v>
      </c>
      <c r="BP189">
        <v>48</v>
      </c>
      <c r="BQ189">
        <v>57</v>
      </c>
      <c r="BR189">
        <v>30</v>
      </c>
      <c r="BS189">
        <v>67</v>
      </c>
      <c r="BT189">
        <v>79</v>
      </c>
      <c r="BU189">
        <v>82</v>
      </c>
      <c r="BV189">
        <v>77</v>
      </c>
      <c r="BW189">
        <v>13</v>
      </c>
      <c r="BX189">
        <v>7</v>
      </c>
      <c r="BY189">
        <v>11</v>
      </c>
      <c r="BZ189">
        <v>14</v>
      </c>
      <c r="CA189">
        <v>11</v>
      </c>
      <c r="CB189">
        <v>58</v>
      </c>
      <c r="CC189">
        <v>57</v>
      </c>
      <c r="CD189">
        <v>58</v>
      </c>
      <c r="CE189">
        <v>58</v>
      </c>
      <c r="CF189">
        <v>58</v>
      </c>
      <c r="CG189">
        <v>57</v>
      </c>
      <c r="CH189">
        <v>62</v>
      </c>
      <c r="CI189">
        <v>63</v>
      </c>
      <c r="CJ189">
        <v>67</v>
      </c>
      <c r="CK189">
        <v>63</v>
      </c>
      <c r="CL189">
        <v>73</v>
      </c>
      <c r="CM189">
        <v>77</v>
      </c>
      <c r="CN189">
        <v>73</v>
      </c>
      <c r="CO189">
        <v>75</v>
      </c>
      <c r="CP189">
        <v>81</v>
      </c>
      <c r="CQ189">
        <v>75</v>
      </c>
      <c r="CR189">
        <v>20</v>
      </c>
    </row>
    <row r="190" spans="1:96">
      <c r="A190">
        <v>189</v>
      </c>
      <c r="B190" t="s">
        <v>957</v>
      </c>
      <c r="C190" t="s">
        <v>734</v>
      </c>
      <c r="D190" t="s">
        <v>753</v>
      </c>
      <c r="E190" t="s">
        <v>958</v>
      </c>
      <c r="F190">
        <v>82</v>
      </c>
      <c r="G190">
        <v>20</v>
      </c>
      <c r="H190" t="s">
        <v>959</v>
      </c>
      <c r="I190" t="s">
        <v>960</v>
      </c>
      <c r="J190">
        <v>82</v>
      </c>
      <c r="K190">
        <v>82</v>
      </c>
      <c r="L190">
        <v>27500000</v>
      </c>
      <c r="M190" t="s">
        <v>831</v>
      </c>
      <c r="N190" t="s">
        <v>133</v>
      </c>
      <c r="O190" t="s">
        <v>134</v>
      </c>
      <c r="P190" t="s">
        <v>961</v>
      </c>
      <c r="Q190">
        <v>28</v>
      </c>
      <c r="R190">
        <v>170</v>
      </c>
      <c r="S190">
        <v>71</v>
      </c>
      <c r="T190">
        <v>2171</v>
      </c>
      <c r="U190">
        <v>454</v>
      </c>
      <c r="V190" t="s">
        <v>169</v>
      </c>
      <c r="W190">
        <v>57000</v>
      </c>
      <c r="X190">
        <v>46800000</v>
      </c>
      <c r="Y190" t="s">
        <v>753</v>
      </c>
      <c r="Z190">
        <v>2023</v>
      </c>
      <c r="AA190">
        <v>13</v>
      </c>
      <c r="AB190">
        <v>2016</v>
      </c>
      <c r="AC190" t="s">
        <v>103</v>
      </c>
      <c r="AD190" t="s">
        <v>137</v>
      </c>
      <c r="AE190">
        <v>2</v>
      </c>
      <c r="AF190">
        <v>4</v>
      </c>
      <c r="AG190">
        <v>3</v>
      </c>
      <c r="AH190" t="s">
        <v>134</v>
      </c>
      <c r="AI190" t="s">
        <v>138</v>
      </c>
      <c r="AJ190" t="s">
        <v>753</v>
      </c>
      <c r="AK190">
        <v>5</v>
      </c>
      <c r="AL190" t="s">
        <v>107</v>
      </c>
      <c r="AM190" t="s">
        <v>406</v>
      </c>
      <c r="AN190">
        <v>74</v>
      </c>
      <c r="AO190">
        <v>77</v>
      </c>
      <c r="AP190">
        <v>86</v>
      </c>
      <c r="AQ190">
        <v>87</v>
      </c>
      <c r="AR190">
        <v>75</v>
      </c>
      <c r="AS190">
        <v>55</v>
      </c>
      <c r="AT190">
        <v>86</v>
      </c>
      <c r="AU190">
        <v>77</v>
      </c>
      <c r="AV190">
        <v>44</v>
      </c>
      <c r="AW190">
        <v>88</v>
      </c>
      <c r="AX190">
        <v>79</v>
      </c>
      <c r="AY190">
        <v>87</v>
      </c>
      <c r="AZ190">
        <v>85</v>
      </c>
      <c r="BA190">
        <v>82</v>
      </c>
      <c r="BB190">
        <v>85</v>
      </c>
      <c r="BC190">
        <v>87</v>
      </c>
      <c r="BD190">
        <v>83</v>
      </c>
      <c r="BE190">
        <v>67</v>
      </c>
      <c r="BF190">
        <v>90</v>
      </c>
      <c r="BG190">
        <v>86</v>
      </c>
      <c r="BH190">
        <v>90</v>
      </c>
      <c r="BI190">
        <v>78</v>
      </c>
      <c r="BJ190">
        <v>52</v>
      </c>
      <c r="BK190">
        <v>74</v>
      </c>
      <c r="BL190">
        <v>50</v>
      </c>
      <c r="BM190">
        <v>80</v>
      </c>
      <c r="BN190">
        <v>45</v>
      </c>
      <c r="BO190">
        <v>83</v>
      </c>
      <c r="BP190">
        <v>79</v>
      </c>
      <c r="BQ190">
        <v>85</v>
      </c>
      <c r="BR190">
        <v>54</v>
      </c>
      <c r="BS190">
        <v>86</v>
      </c>
      <c r="BT190">
        <v>79</v>
      </c>
      <c r="BU190">
        <v>75</v>
      </c>
      <c r="BV190">
        <v>76</v>
      </c>
      <c r="BW190">
        <v>12</v>
      </c>
      <c r="BX190">
        <v>6</v>
      </c>
      <c r="BY190">
        <v>8</v>
      </c>
      <c r="BZ190">
        <v>11</v>
      </c>
      <c r="CA190">
        <v>8</v>
      </c>
      <c r="CB190">
        <v>79</v>
      </c>
      <c r="CC190">
        <v>82</v>
      </c>
      <c r="CD190">
        <v>82</v>
      </c>
      <c r="CE190">
        <v>82</v>
      </c>
      <c r="CF190">
        <v>82</v>
      </c>
      <c r="CG190">
        <v>82</v>
      </c>
      <c r="CH190">
        <v>82</v>
      </c>
      <c r="CI190">
        <v>82</v>
      </c>
      <c r="CJ190">
        <v>82</v>
      </c>
      <c r="CK190">
        <v>82</v>
      </c>
      <c r="CL190">
        <v>82</v>
      </c>
      <c r="CM190">
        <v>82</v>
      </c>
      <c r="CN190">
        <v>82</v>
      </c>
      <c r="CO190">
        <v>82</v>
      </c>
      <c r="CP190">
        <v>73</v>
      </c>
      <c r="CQ190">
        <v>82</v>
      </c>
      <c r="CR190">
        <v>21</v>
      </c>
    </row>
    <row r="191" spans="1:96">
      <c r="A191">
        <v>190</v>
      </c>
      <c r="B191" t="s">
        <v>962</v>
      </c>
      <c r="C191" t="s">
        <v>734</v>
      </c>
      <c r="D191" t="s">
        <v>419</v>
      </c>
      <c r="E191" t="s">
        <v>963</v>
      </c>
      <c r="F191">
        <v>82</v>
      </c>
      <c r="G191">
        <v>20</v>
      </c>
      <c r="H191" t="s">
        <v>580</v>
      </c>
      <c r="I191" t="s">
        <v>964</v>
      </c>
      <c r="J191">
        <v>81</v>
      </c>
      <c r="K191">
        <v>86</v>
      </c>
      <c r="L191">
        <v>35000000</v>
      </c>
      <c r="M191" t="s">
        <v>965</v>
      </c>
      <c r="N191" t="s">
        <v>109</v>
      </c>
      <c r="O191" t="s">
        <v>287</v>
      </c>
      <c r="P191" t="s">
        <v>966</v>
      </c>
      <c r="Q191">
        <v>24</v>
      </c>
      <c r="R191">
        <v>178</v>
      </c>
      <c r="S191">
        <v>77</v>
      </c>
      <c r="T191">
        <v>2119</v>
      </c>
      <c r="U191">
        <v>450</v>
      </c>
      <c r="V191" t="s">
        <v>110</v>
      </c>
      <c r="W191">
        <v>95000</v>
      </c>
      <c r="X191">
        <v>69100000</v>
      </c>
      <c r="Y191" t="s">
        <v>419</v>
      </c>
      <c r="Z191">
        <v>2027</v>
      </c>
      <c r="AA191">
        <v>6</v>
      </c>
      <c r="AB191">
        <v>2022</v>
      </c>
      <c r="AC191" t="s">
        <v>103</v>
      </c>
      <c r="AD191" t="s">
        <v>137</v>
      </c>
      <c r="AE191">
        <v>3</v>
      </c>
      <c r="AF191">
        <v>3</v>
      </c>
      <c r="AG191">
        <v>2</v>
      </c>
      <c r="AH191" t="s">
        <v>287</v>
      </c>
      <c r="AI191" t="s">
        <v>289</v>
      </c>
      <c r="AJ191" t="s">
        <v>114</v>
      </c>
      <c r="AK191">
        <v>16</v>
      </c>
      <c r="AL191" t="s">
        <v>116</v>
      </c>
      <c r="AM191" t="s">
        <v>107</v>
      </c>
      <c r="AN191">
        <v>72</v>
      </c>
      <c r="AO191">
        <v>60</v>
      </c>
      <c r="AP191">
        <v>76</v>
      </c>
      <c r="AQ191">
        <v>77</v>
      </c>
      <c r="AR191">
        <v>82</v>
      </c>
      <c r="AS191">
        <v>83</v>
      </c>
      <c r="AT191">
        <v>75</v>
      </c>
      <c r="AU191">
        <v>52</v>
      </c>
      <c r="AV191">
        <v>75</v>
      </c>
      <c r="AW191">
        <v>80</v>
      </c>
      <c r="AX191">
        <v>56</v>
      </c>
      <c r="AY191">
        <v>76</v>
      </c>
      <c r="AZ191">
        <v>63</v>
      </c>
      <c r="BA191">
        <v>55</v>
      </c>
      <c r="BB191">
        <v>82</v>
      </c>
      <c r="BC191">
        <v>79</v>
      </c>
      <c r="BD191">
        <v>74</v>
      </c>
      <c r="BE191">
        <v>71</v>
      </c>
      <c r="BF191">
        <v>73</v>
      </c>
      <c r="BG191">
        <v>77</v>
      </c>
      <c r="BH191">
        <v>79</v>
      </c>
      <c r="BI191">
        <v>72</v>
      </c>
      <c r="BJ191">
        <v>91</v>
      </c>
      <c r="BK191">
        <v>85</v>
      </c>
      <c r="BL191">
        <v>81</v>
      </c>
      <c r="BM191">
        <v>66</v>
      </c>
      <c r="BN191">
        <v>84</v>
      </c>
      <c r="BO191">
        <v>82</v>
      </c>
      <c r="BP191">
        <v>62</v>
      </c>
      <c r="BQ191">
        <v>73</v>
      </c>
      <c r="BR191">
        <v>55</v>
      </c>
      <c r="BS191">
        <v>82</v>
      </c>
      <c r="BT191">
        <v>83</v>
      </c>
      <c r="BU191">
        <v>82</v>
      </c>
      <c r="BV191">
        <v>81</v>
      </c>
      <c r="BW191">
        <v>6</v>
      </c>
      <c r="BX191">
        <v>14</v>
      </c>
      <c r="BY191">
        <v>13</v>
      </c>
      <c r="BZ191">
        <v>14</v>
      </c>
      <c r="CA191">
        <v>8</v>
      </c>
      <c r="CB191">
        <v>71</v>
      </c>
      <c r="CC191">
        <v>72</v>
      </c>
      <c r="CD191">
        <v>71</v>
      </c>
      <c r="CE191">
        <v>71</v>
      </c>
      <c r="CF191">
        <v>71</v>
      </c>
      <c r="CG191">
        <v>72</v>
      </c>
      <c r="CH191">
        <v>75</v>
      </c>
      <c r="CI191">
        <v>76</v>
      </c>
      <c r="CJ191">
        <v>79</v>
      </c>
      <c r="CK191">
        <v>76</v>
      </c>
      <c r="CL191">
        <v>81</v>
      </c>
      <c r="CM191">
        <v>83</v>
      </c>
      <c r="CN191">
        <v>81</v>
      </c>
      <c r="CO191">
        <v>81</v>
      </c>
      <c r="CP191">
        <v>83</v>
      </c>
      <c r="CQ191">
        <v>81</v>
      </c>
      <c r="CR191">
        <v>20</v>
      </c>
    </row>
    <row r="192" spans="1:96">
      <c r="A192">
        <v>191</v>
      </c>
      <c r="B192" t="s">
        <v>967</v>
      </c>
      <c r="C192" t="s">
        <v>734</v>
      </c>
      <c r="D192" t="s">
        <v>419</v>
      </c>
      <c r="E192" t="s">
        <v>405</v>
      </c>
      <c r="F192">
        <v>82</v>
      </c>
      <c r="G192">
        <v>20</v>
      </c>
      <c r="H192" t="s">
        <v>968</v>
      </c>
      <c r="I192" t="s">
        <v>967</v>
      </c>
      <c r="J192">
        <v>84</v>
      </c>
      <c r="K192">
        <v>84</v>
      </c>
      <c r="L192">
        <v>11000000</v>
      </c>
      <c r="M192" t="s">
        <v>419</v>
      </c>
      <c r="N192" t="s">
        <v>419</v>
      </c>
      <c r="O192" t="s">
        <v>156</v>
      </c>
      <c r="P192" t="s">
        <v>969</v>
      </c>
      <c r="Q192">
        <v>35</v>
      </c>
      <c r="R192">
        <v>190</v>
      </c>
      <c r="S192">
        <v>85</v>
      </c>
      <c r="T192">
        <v>1947</v>
      </c>
      <c r="U192">
        <v>416</v>
      </c>
      <c r="V192" t="s">
        <v>405</v>
      </c>
      <c r="W192">
        <v>95000</v>
      </c>
      <c r="X192">
        <v>18700000</v>
      </c>
      <c r="Y192" t="s">
        <v>419</v>
      </c>
      <c r="Z192">
        <v>2024</v>
      </c>
      <c r="AA192">
        <v>19</v>
      </c>
      <c r="AB192">
        <v>2018</v>
      </c>
      <c r="AC192" t="s">
        <v>103</v>
      </c>
      <c r="AD192" t="s">
        <v>104</v>
      </c>
      <c r="AE192">
        <v>4</v>
      </c>
      <c r="AF192">
        <v>2</v>
      </c>
      <c r="AG192">
        <v>3</v>
      </c>
      <c r="AH192" t="s">
        <v>156</v>
      </c>
      <c r="AI192" t="s">
        <v>159</v>
      </c>
      <c r="AJ192" t="s">
        <v>419</v>
      </c>
      <c r="AK192">
        <v>19</v>
      </c>
      <c r="AL192" t="s">
        <v>116</v>
      </c>
      <c r="AM192" t="s">
        <v>107</v>
      </c>
      <c r="AN192">
        <v>54</v>
      </c>
      <c r="AO192">
        <v>59</v>
      </c>
      <c r="AP192">
        <v>69</v>
      </c>
      <c r="AQ192">
        <v>71</v>
      </c>
      <c r="AR192">
        <v>85</v>
      </c>
      <c r="AS192">
        <v>78</v>
      </c>
      <c r="AT192">
        <v>44</v>
      </c>
      <c r="AU192">
        <v>50</v>
      </c>
      <c r="AV192">
        <v>83</v>
      </c>
      <c r="AW192">
        <v>81</v>
      </c>
      <c r="AX192">
        <v>58</v>
      </c>
      <c r="AY192">
        <v>69</v>
      </c>
      <c r="AZ192">
        <v>56</v>
      </c>
      <c r="BA192">
        <v>60</v>
      </c>
      <c r="BB192">
        <v>81</v>
      </c>
      <c r="BC192">
        <v>79</v>
      </c>
      <c r="BD192">
        <v>53</v>
      </c>
      <c r="BE192">
        <v>55</v>
      </c>
      <c r="BF192">
        <v>55</v>
      </c>
      <c r="BG192">
        <v>81</v>
      </c>
      <c r="BH192">
        <v>53</v>
      </c>
      <c r="BI192">
        <v>74</v>
      </c>
      <c r="BJ192">
        <v>90</v>
      </c>
      <c r="BK192">
        <v>63</v>
      </c>
      <c r="BL192">
        <v>82</v>
      </c>
      <c r="BM192">
        <v>65</v>
      </c>
      <c r="BN192">
        <v>82</v>
      </c>
      <c r="BO192">
        <v>86</v>
      </c>
      <c r="BP192">
        <v>38</v>
      </c>
      <c r="BQ192">
        <v>71</v>
      </c>
      <c r="BR192">
        <v>74</v>
      </c>
      <c r="BS192">
        <v>86</v>
      </c>
      <c r="BT192">
        <v>87</v>
      </c>
      <c r="BU192">
        <v>84</v>
      </c>
      <c r="BV192">
        <v>80</v>
      </c>
      <c r="BW192">
        <v>2</v>
      </c>
      <c r="BX192">
        <v>2</v>
      </c>
      <c r="BY192">
        <v>3</v>
      </c>
      <c r="BZ192">
        <v>2</v>
      </c>
      <c r="CA192">
        <v>4</v>
      </c>
      <c r="CB192">
        <v>68</v>
      </c>
      <c r="CC192">
        <v>63</v>
      </c>
      <c r="CD192">
        <v>66</v>
      </c>
      <c r="CE192">
        <v>66</v>
      </c>
      <c r="CF192">
        <v>66</v>
      </c>
      <c r="CG192">
        <v>63</v>
      </c>
      <c r="CH192">
        <v>71</v>
      </c>
      <c r="CI192">
        <v>68</v>
      </c>
      <c r="CJ192">
        <v>77</v>
      </c>
      <c r="CK192">
        <v>68</v>
      </c>
      <c r="CL192">
        <v>76</v>
      </c>
      <c r="CM192">
        <v>84</v>
      </c>
      <c r="CN192">
        <v>76</v>
      </c>
      <c r="CO192">
        <v>77</v>
      </c>
      <c r="CP192">
        <v>84</v>
      </c>
      <c r="CQ192">
        <v>77</v>
      </c>
      <c r="CR192">
        <v>14</v>
      </c>
    </row>
    <row r="193" spans="1:96">
      <c r="A193">
        <v>192</v>
      </c>
      <c r="B193" t="s">
        <v>970</v>
      </c>
      <c r="C193" t="s">
        <v>734</v>
      </c>
      <c r="D193" t="s">
        <v>419</v>
      </c>
      <c r="E193" t="s">
        <v>971</v>
      </c>
      <c r="F193">
        <v>81</v>
      </c>
      <c r="G193">
        <v>20</v>
      </c>
      <c r="H193" t="s">
        <v>972</v>
      </c>
      <c r="I193" t="s">
        <v>973</v>
      </c>
      <c r="J193">
        <v>81</v>
      </c>
      <c r="K193">
        <v>81</v>
      </c>
      <c r="L193">
        <v>8500000</v>
      </c>
      <c r="M193" t="s">
        <v>419</v>
      </c>
      <c r="N193" t="s">
        <v>419</v>
      </c>
      <c r="O193" t="s">
        <v>287</v>
      </c>
      <c r="P193" t="s">
        <v>974</v>
      </c>
      <c r="Q193">
        <v>34</v>
      </c>
      <c r="R193">
        <v>182</v>
      </c>
      <c r="S193">
        <v>78</v>
      </c>
      <c r="T193">
        <v>1896</v>
      </c>
      <c r="U193">
        <v>405</v>
      </c>
      <c r="V193" t="s">
        <v>362</v>
      </c>
      <c r="W193">
        <v>18000</v>
      </c>
      <c r="X193">
        <v>17000000</v>
      </c>
      <c r="Y193" t="s">
        <v>419</v>
      </c>
      <c r="Z193">
        <v>2023</v>
      </c>
      <c r="AA193">
        <v>30</v>
      </c>
      <c r="AB193">
        <v>2020</v>
      </c>
      <c r="AC193" t="s">
        <v>103</v>
      </c>
      <c r="AD193" t="s">
        <v>104</v>
      </c>
      <c r="AE193">
        <v>3</v>
      </c>
      <c r="AF193">
        <v>2</v>
      </c>
      <c r="AG193">
        <v>3</v>
      </c>
      <c r="AH193" t="s">
        <v>287</v>
      </c>
      <c r="AI193" t="s">
        <v>289</v>
      </c>
      <c r="AJ193" t="s">
        <v>419</v>
      </c>
      <c r="AK193">
        <v>19</v>
      </c>
      <c r="AL193" t="s">
        <v>116</v>
      </c>
      <c r="AM193" t="s">
        <v>107</v>
      </c>
      <c r="AN193">
        <v>63</v>
      </c>
      <c r="AO193">
        <v>57</v>
      </c>
      <c r="AP193">
        <v>62</v>
      </c>
      <c r="AQ193">
        <v>59</v>
      </c>
      <c r="AR193">
        <v>83</v>
      </c>
      <c r="AS193">
        <v>81</v>
      </c>
      <c r="AT193">
        <v>52</v>
      </c>
      <c r="AU193">
        <v>54</v>
      </c>
      <c r="AV193">
        <v>79</v>
      </c>
      <c r="AW193">
        <v>73</v>
      </c>
      <c r="AX193">
        <v>57</v>
      </c>
      <c r="AY193">
        <v>51</v>
      </c>
      <c r="AZ193">
        <v>50</v>
      </c>
      <c r="BA193">
        <v>39</v>
      </c>
      <c r="BB193">
        <v>70</v>
      </c>
      <c r="BC193">
        <v>66</v>
      </c>
      <c r="BD193">
        <v>60</v>
      </c>
      <c r="BE193">
        <v>65</v>
      </c>
      <c r="BF193">
        <v>58</v>
      </c>
      <c r="BG193">
        <v>79</v>
      </c>
      <c r="BH193">
        <v>58</v>
      </c>
      <c r="BI193">
        <v>69</v>
      </c>
      <c r="BJ193">
        <v>90</v>
      </c>
      <c r="BK193">
        <v>75</v>
      </c>
      <c r="BL193">
        <v>80</v>
      </c>
      <c r="BM193">
        <v>56</v>
      </c>
      <c r="BN193">
        <v>90</v>
      </c>
      <c r="BO193">
        <v>84</v>
      </c>
      <c r="BP193">
        <v>48</v>
      </c>
      <c r="BQ193">
        <v>53</v>
      </c>
      <c r="BR193">
        <v>45</v>
      </c>
      <c r="BS193">
        <v>79</v>
      </c>
      <c r="BT193">
        <v>84</v>
      </c>
      <c r="BU193">
        <v>83</v>
      </c>
      <c r="BV193">
        <v>80</v>
      </c>
      <c r="BW193">
        <v>12</v>
      </c>
      <c r="BX193">
        <v>5</v>
      </c>
      <c r="BY193">
        <v>8</v>
      </c>
      <c r="BZ193">
        <v>11</v>
      </c>
      <c r="CA193">
        <v>12</v>
      </c>
      <c r="CB193">
        <v>66</v>
      </c>
      <c r="CC193">
        <v>59</v>
      </c>
      <c r="CD193">
        <v>61</v>
      </c>
      <c r="CE193">
        <v>61</v>
      </c>
      <c r="CF193">
        <v>61</v>
      </c>
      <c r="CG193">
        <v>59</v>
      </c>
      <c r="CH193">
        <v>64</v>
      </c>
      <c r="CI193">
        <v>64</v>
      </c>
      <c r="CJ193">
        <v>70</v>
      </c>
      <c r="CK193">
        <v>64</v>
      </c>
      <c r="CL193">
        <v>75</v>
      </c>
      <c r="CM193">
        <v>80</v>
      </c>
      <c r="CN193">
        <v>75</v>
      </c>
      <c r="CO193">
        <v>78</v>
      </c>
      <c r="CP193">
        <v>81</v>
      </c>
      <c r="CQ193">
        <v>78</v>
      </c>
      <c r="CR193">
        <v>20</v>
      </c>
    </row>
    <row r="194" spans="1:96">
      <c r="A194">
        <v>193</v>
      </c>
      <c r="B194" t="s">
        <v>975</v>
      </c>
      <c r="C194" t="s">
        <v>734</v>
      </c>
      <c r="D194" t="s">
        <v>753</v>
      </c>
      <c r="E194" t="s">
        <v>976</v>
      </c>
      <c r="F194">
        <v>81</v>
      </c>
      <c r="G194">
        <v>20</v>
      </c>
      <c r="H194" t="s">
        <v>977</v>
      </c>
      <c r="I194" t="s">
        <v>978</v>
      </c>
      <c r="J194">
        <v>80</v>
      </c>
      <c r="K194">
        <v>81</v>
      </c>
      <c r="L194">
        <v>22500000</v>
      </c>
      <c r="M194" t="s">
        <v>753</v>
      </c>
      <c r="N194" t="s">
        <v>753</v>
      </c>
      <c r="O194" t="s">
        <v>167</v>
      </c>
      <c r="P194" t="s">
        <v>979</v>
      </c>
      <c r="Q194">
        <v>26</v>
      </c>
      <c r="R194">
        <v>181</v>
      </c>
      <c r="S194">
        <v>75</v>
      </c>
      <c r="T194">
        <v>2082</v>
      </c>
      <c r="U194">
        <v>443</v>
      </c>
      <c r="V194" t="s">
        <v>110</v>
      </c>
      <c r="W194">
        <v>105000</v>
      </c>
      <c r="X194">
        <v>44400000</v>
      </c>
      <c r="Y194" t="s">
        <v>114</v>
      </c>
      <c r="Z194">
        <v>2023</v>
      </c>
      <c r="AA194">
        <v>23</v>
      </c>
      <c r="AB194">
        <v>2014</v>
      </c>
      <c r="AC194" t="s">
        <v>103</v>
      </c>
      <c r="AD194" t="s">
        <v>137</v>
      </c>
      <c r="AE194">
        <v>2</v>
      </c>
      <c r="AF194">
        <v>3</v>
      </c>
      <c r="AG194">
        <v>2</v>
      </c>
      <c r="AH194" t="s">
        <v>103</v>
      </c>
      <c r="AI194" t="s">
        <v>170</v>
      </c>
      <c r="AJ194" t="s">
        <v>103</v>
      </c>
      <c r="AK194" t="s">
        <v>103</v>
      </c>
      <c r="AL194" t="s">
        <v>116</v>
      </c>
      <c r="AM194" t="s">
        <v>116</v>
      </c>
      <c r="AN194">
        <v>76</v>
      </c>
      <c r="AO194">
        <v>54</v>
      </c>
      <c r="AP194">
        <v>78</v>
      </c>
      <c r="AQ194">
        <v>78</v>
      </c>
      <c r="AR194">
        <v>79</v>
      </c>
      <c r="AS194">
        <v>78</v>
      </c>
      <c r="AT194">
        <v>82</v>
      </c>
      <c r="AU194">
        <v>44</v>
      </c>
      <c r="AV194">
        <v>76</v>
      </c>
      <c r="AW194">
        <v>80</v>
      </c>
      <c r="AX194">
        <v>56</v>
      </c>
      <c r="AY194">
        <v>78</v>
      </c>
      <c r="AZ194">
        <v>83</v>
      </c>
      <c r="BA194">
        <v>54</v>
      </c>
      <c r="BB194">
        <v>70</v>
      </c>
      <c r="BC194">
        <v>80</v>
      </c>
      <c r="BD194">
        <v>74</v>
      </c>
      <c r="BE194">
        <v>77</v>
      </c>
      <c r="BF194">
        <v>70</v>
      </c>
      <c r="BG194">
        <v>76</v>
      </c>
      <c r="BH194">
        <v>78</v>
      </c>
      <c r="BI194">
        <v>74</v>
      </c>
      <c r="BJ194">
        <v>83</v>
      </c>
      <c r="BK194">
        <v>72</v>
      </c>
      <c r="BL194">
        <v>77</v>
      </c>
      <c r="BM194">
        <v>54</v>
      </c>
      <c r="BN194">
        <v>85</v>
      </c>
      <c r="BO194">
        <v>78</v>
      </c>
      <c r="BP194">
        <v>76</v>
      </c>
      <c r="BQ194">
        <v>80</v>
      </c>
      <c r="BR194">
        <v>38</v>
      </c>
      <c r="BS194">
        <v>81</v>
      </c>
      <c r="BT194">
        <v>79</v>
      </c>
      <c r="BU194">
        <v>81</v>
      </c>
      <c r="BV194">
        <v>78</v>
      </c>
      <c r="BW194">
        <v>10</v>
      </c>
      <c r="BX194">
        <v>12</v>
      </c>
      <c r="BY194">
        <v>13</v>
      </c>
      <c r="BZ194">
        <v>7</v>
      </c>
      <c r="CA194">
        <v>7</v>
      </c>
      <c r="CB194">
        <v>72</v>
      </c>
      <c r="CC194">
        <v>74</v>
      </c>
      <c r="CD194">
        <v>73</v>
      </c>
      <c r="CE194">
        <v>73</v>
      </c>
      <c r="CF194">
        <v>73</v>
      </c>
      <c r="CG194">
        <v>74</v>
      </c>
      <c r="CH194">
        <v>76</v>
      </c>
      <c r="CI194">
        <v>78</v>
      </c>
      <c r="CJ194">
        <v>78</v>
      </c>
      <c r="CK194">
        <v>78</v>
      </c>
      <c r="CL194">
        <v>80</v>
      </c>
      <c r="CM194">
        <v>80</v>
      </c>
      <c r="CN194">
        <v>80</v>
      </c>
      <c r="CO194">
        <v>80</v>
      </c>
      <c r="CP194">
        <v>81</v>
      </c>
      <c r="CQ194">
        <v>80</v>
      </c>
      <c r="CR194">
        <v>19</v>
      </c>
    </row>
    <row r="195" spans="1:96">
      <c r="A195">
        <v>194</v>
      </c>
      <c r="B195" t="s">
        <v>980</v>
      </c>
      <c r="C195" t="s">
        <v>734</v>
      </c>
      <c r="D195" t="s">
        <v>419</v>
      </c>
      <c r="E195" t="s">
        <v>405</v>
      </c>
      <c r="F195">
        <v>83</v>
      </c>
      <c r="G195">
        <v>20</v>
      </c>
      <c r="H195" t="s">
        <v>980</v>
      </c>
      <c r="I195" t="s">
        <v>981</v>
      </c>
      <c r="J195">
        <v>83</v>
      </c>
      <c r="K195">
        <v>87</v>
      </c>
      <c r="L195">
        <v>45500000</v>
      </c>
      <c r="M195" t="s">
        <v>419</v>
      </c>
      <c r="N195" t="s">
        <v>419</v>
      </c>
      <c r="O195" t="s">
        <v>112</v>
      </c>
      <c r="P195" t="s">
        <v>982</v>
      </c>
      <c r="Q195">
        <v>25</v>
      </c>
      <c r="R195">
        <v>188</v>
      </c>
      <c r="S195">
        <v>82</v>
      </c>
      <c r="T195">
        <v>1869</v>
      </c>
      <c r="U195">
        <v>412</v>
      </c>
      <c r="V195" t="s">
        <v>405</v>
      </c>
      <c r="W195">
        <v>115000</v>
      </c>
      <c r="X195">
        <v>80800000</v>
      </c>
      <c r="Y195" t="s">
        <v>419</v>
      </c>
      <c r="Z195">
        <v>2027</v>
      </c>
      <c r="AA195">
        <v>3</v>
      </c>
      <c r="AB195">
        <v>2022</v>
      </c>
      <c r="AC195" t="s">
        <v>103</v>
      </c>
      <c r="AD195" t="s">
        <v>104</v>
      </c>
      <c r="AE195">
        <v>2</v>
      </c>
      <c r="AF195">
        <v>2</v>
      </c>
      <c r="AG195">
        <v>1</v>
      </c>
      <c r="AH195" t="s">
        <v>103</v>
      </c>
      <c r="AI195" t="s">
        <v>115</v>
      </c>
      <c r="AJ195" t="s">
        <v>103</v>
      </c>
      <c r="AK195" t="s">
        <v>103</v>
      </c>
      <c r="AL195" t="s">
        <v>107</v>
      </c>
      <c r="AM195" t="s">
        <v>116</v>
      </c>
      <c r="AN195">
        <v>78</v>
      </c>
      <c r="AO195">
        <v>50</v>
      </c>
      <c r="AP195">
        <v>56</v>
      </c>
      <c r="AQ195">
        <v>65</v>
      </c>
      <c r="AR195">
        <v>84</v>
      </c>
      <c r="AS195">
        <v>79</v>
      </c>
      <c r="AT195">
        <v>46</v>
      </c>
      <c r="AU195">
        <v>49</v>
      </c>
      <c r="AV195">
        <v>86</v>
      </c>
      <c r="AW195">
        <v>69</v>
      </c>
      <c r="AX195">
        <v>38</v>
      </c>
      <c r="AY195">
        <v>62</v>
      </c>
      <c r="AZ195">
        <v>42</v>
      </c>
      <c r="BA195">
        <v>24</v>
      </c>
      <c r="BB195">
        <v>69</v>
      </c>
      <c r="BC195">
        <v>65</v>
      </c>
      <c r="BD195">
        <v>77</v>
      </c>
      <c r="BE195">
        <v>78</v>
      </c>
      <c r="BF195">
        <v>66</v>
      </c>
      <c r="BG195">
        <v>79</v>
      </c>
      <c r="BH195">
        <v>66</v>
      </c>
      <c r="BI195">
        <v>68</v>
      </c>
      <c r="BJ195">
        <v>82</v>
      </c>
      <c r="BK195">
        <v>70</v>
      </c>
      <c r="BL195">
        <v>82</v>
      </c>
      <c r="BM195">
        <v>36</v>
      </c>
      <c r="BN195">
        <v>82</v>
      </c>
      <c r="BO195">
        <v>84</v>
      </c>
      <c r="BP195">
        <v>58</v>
      </c>
      <c r="BQ195">
        <v>45</v>
      </c>
      <c r="BR195">
        <v>43</v>
      </c>
      <c r="BS195">
        <v>74</v>
      </c>
      <c r="BT195">
        <v>83</v>
      </c>
      <c r="BU195">
        <v>85</v>
      </c>
      <c r="BV195">
        <v>83</v>
      </c>
      <c r="BW195">
        <v>13</v>
      </c>
      <c r="BX195">
        <v>15</v>
      </c>
      <c r="BY195">
        <v>13</v>
      </c>
      <c r="BZ195">
        <v>5</v>
      </c>
      <c r="CA195">
        <v>6</v>
      </c>
      <c r="CB195">
        <v>67</v>
      </c>
      <c r="CC195">
        <v>61</v>
      </c>
      <c r="CD195">
        <v>63</v>
      </c>
      <c r="CE195">
        <v>63</v>
      </c>
      <c r="CF195">
        <v>63</v>
      </c>
      <c r="CG195">
        <v>61</v>
      </c>
      <c r="CH195">
        <v>63</v>
      </c>
      <c r="CI195">
        <v>65</v>
      </c>
      <c r="CJ195">
        <v>67</v>
      </c>
      <c r="CK195">
        <v>65</v>
      </c>
      <c r="CL195">
        <v>75</v>
      </c>
      <c r="CM195">
        <v>78</v>
      </c>
      <c r="CN195">
        <v>75</v>
      </c>
      <c r="CO195">
        <v>78</v>
      </c>
      <c r="CP195">
        <v>84</v>
      </c>
      <c r="CQ195">
        <v>78</v>
      </c>
      <c r="CR19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2BC2-839C-4E62-BE00-402DF1C1F3A9}">
  <dimension ref="A1:E310"/>
  <sheetViews>
    <sheetView workbookViewId="0">
      <pane ySplit="5" topLeftCell="A6" activePane="bottomLeft" state="frozen"/>
      <selection pane="bottomLeft" activeCell="D6" sqref="D6"/>
    </sheetView>
  </sheetViews>
  <sheetFormatPr defaultRowHeight="15"/>
  <cols>
    <col min="1" max="1" width="17.28515625" bestFit="1" customWidth="1"/>
    <col min="2" max="2" width="18.5703125" customWidth="1"/>
    <col min="3" max="3" width="18.140625" customWidth="1"/>
    <col min="4" max="4" width="18.5703125" customWidth="1"/>
    <col min="5" max="5" width="18.28515625" customWidth="1"/>
    <col min="6" max="6" width="14.42578125" customWidth="1"/>
    <col min="7" max="7" width="16.140625" customWidth="1"/>
  </cols>
  <sheetData>
    <row r="1" spans="1:5" s="2" customFormat="1" ht="19.5" thickBot="1">
      <c r="A1" s="2" t="s">
        <v>1005</v>
      </c>
      <c r="B1" s="4" t="s">
        <v>1007</v>
      </c>
    </row>
    <row r="2" spans="1:5" s="5" customFormat="1" ht="18.75">
      <c r="A2" s="5" cm="1">
        <f t="array" ref="A2">IF($B$1="", "", IFERROR(TRANSPOSE(_xlfn._xlws.FILTER(Master_List!$A$2:$A$200, ISNUMBER(SEARCH($B$1, Master_List!$B$2:$B$200)))), ""))</f>
        <v>84</v>
      </c>
    </row>
    <row r="3" spans="1:5" s="6" customFormat="1" ht="31.5" customHeight="1">
      <c r="A3" s="6" t="str" cm="1">
        <f t="array" ref="A3">IF($B$1="", "", IFERROR(TRANSPOSE(_xlfn._xlws.FILTER(Master_List!$B$2:$B$200, ISNUMBER(SEARCH($B$1, Master_List!$B$2:$B$200)))), ""))</f>
        <v>Lionel Messi</v>
      </c>
    </row>
    <row r="4" spans="1:5" s="3" customFormat="1"/>
    <row r="5" spans="1:5" s="7" customFormat="1" ht="15.75">
      <c r="A5" s="7" t="s">
        <v>1004</v>
      </c>
      <c r="B5" s="7" t="s">
        <v>983</v>
      </c>
      <c r="C5" s="7" t="s">
        <v>984</v>
      </c>
      <c r="D5" s="7" t="s">
        <v>985</v>
      </c>
      <c r="E5" s="7" t="s">
        <v>986</v>
      </c>
    </row>
    <row r="6" spans="1:5">
      <c r="B6" t="str">
        <f>IF(A6="","", _xlfn.XLOOKUP(A6, Master_List!A:A, Master_List!B:B, "Invalid ID"))</f>
        <v/>
      </c>
      <c r="C6" t="str">
        <f>IF(B6="","",_xlfn.XLOOKUP(B6, Master_List!B:B, Master_List!C:C, "Not Found"))</f>
        <v/>
      </c>
    </row>
    <row r="7" spans="1:5">
      <c r="B7" t="str">
        <f>IF(A7="","", _xlfn.XLOOKUP(A7, Master_List!A:A, Master_List!B:B, "Invalid ID"))</f>
        <v/>
      </c>
      <c r="C7" t="str">
        <f>IF(B7="","",_xlfn.XLOOKUP(B7, Master_List!B:B, Master_List!C:C, "Not Found"))</f>
        <v/>
      </c>
    </row>
    <row r="8" spans="1:5">
      <c r="B8" t="str">
        <f>IF(A8="","", _xlfn.XLOOKUP(A8, Master_List!A:A, Master_List!B:B, "Invalid ID"))</f>
        <v/>
      </c>
      <c r="C8" t="str">
        <f>IF(B8="","",_xlfn.XLOOKUP(B8, Master_List!B:B, Master_List!C:C, "Not Found"))</f>
        <v/>
      </c>
    </row>
    <row r="9" spans="1:5">
      <c r="B9" t="str">
        <f>IF(A9="","", _xlfn.XLOOKUP(A9, Master_List!A:A, Master_List!B:B, "Invalid ID"))</f>
        <v/>
      </c>
      <c r="C9" t="str">
        <f>IF(B9="","",_xlfn.XLOOKUP(B9, Master_List!B:B, Master_List!C:C, "Not Found"))</f>
        <v/>
      </c>
    </row>
    <row r="10" spans="1:5">
      <c r="B10" t="str">
        <f>IF(A10="","", _xlfn.XLOOKUP(A10, Master_List!A:A, Master_List!B:B, "Invalid ID"))</f>
        <v/>
      </c>
      <c r="C10" t="str">
        <f>IF(B10="","",_xlfn.XLOOKUP(B10, Master_List!B:B, Master_List!C:C, "Not Found"))</f>
        <v/>
      </c>
    </row>
    <row r="11" spans="1:5">
      <c r="B11" t="str">
        <f>IF(A11="","", _xlfn.XLOOKUP(A11, Master_List!A:A, Master_List!B:B, "Invalid ID"))</f>
        <v/>
      </c>
      <c r="C11" t="str">
        <f>IF(B11="","",_xlfn.XLOOKUP(B11, Master_List!B:B, Master_List!C:C, "Not Found"))</f>
        <v/>
      </c>
    </row>
    <row r="12" spans="1:5">
      <c r="B12" t="str">
        <f>IF(A12="","", _xlfn.XLOOKUP(A12, Master_List!A:A, Master_List!B:B, "Invalid ID"))</f>
        <v/>
      </c>
      <c r="C12" t="str">
        <f>IF(B12="","",_xlfn.XLOOKUP(B12, Master_List!B:B, Master_List!C:C, "Not Found"))</f>
        <v/>
      </c>
    </row>
    <row r="13" spans="1:5">
      <c r="B13" t="str">
        <f>IF(A13="","", _xlfn.XLOOKUP(A13, Master_List!A:A, Master_List!B:B, "Invalid ID"))</f>
        <v/>
      </c>
      <c r="C13" t="str">
        <f>IF(B13="","",_xlfn.XLOOKUP(B13, Master_List!B:B, Master_List!C:C, "Not Found"))</f>
        <v/>
      </c>
    </row>
    <row r="14" spans="1:5">
      <c r="B14" t="str">
        <f>IF(A14="","", _xlfn.XLOOKUP(A14, Master_List!A:A, Master_List!B:B, "Invalid ID"))</f>
        <v/>
      </c>
      <c r="C14" t="str">
        <f>IF(B14="","",_xlfn.XLOOKUP(B14, Master_List!B:B, Master_List!C:C, "Not Found"))</f>
        <v/>
      </c>
    </row>
    <row r="15" spans="1:5">
      <c r="B15" t="str">
        <f>IF(A15="","", _xlfn.XLOOKUP(A15, Master_List!A:A, Master_List!B:B, "Invalid ID"))</f>
        <v/>
      </c>
      <c r="C15" t="str">
        <f>IF(B15="","",_xlfn.XLOOKUP(B15, Master_List!B:B, Master_List!C:C, "Not Found"))</f>
        <v/>
      </c>
    </row>
    <row r="16" spans="1:5">
      <c r="B16" t="str">
        <f>IF(A16="","", _xlfn.XLOOKUP(A16, Master_List!A:A, Master_List!B:B, "Invalid ID"))</f>
        <v/>
      </c>
      <c r="C16" t="str">
        <f>IF(B16="","",_xlfn.XLOOKUP(B16, Master_List!B:B, Master_List!C:C, "Not Found"))</f>
        <v/>
      </c>
    </row>
    <row r="17" spans="2:3">
      <c r="B17" t="str">
        <f>IF(A17="","", _xlfn.XLOOKUP(A17, Master_List!A:A, Master_List!B:B, "Invalid ID"))</f>
        <v/>
      </c>
      <c r="C17" t="str">
        <f>IF(B17="","",_xlfn.XLOOKUP(B17, Master_List!B:B, Master_List!C:C, "Not Found"))</f>
        <v/>
      </c>
    </row>
    <row r="18" spans="2:3">
      <c r="B18" t="str">
        <f>IF(A18="","", _xlfn.XLOOKUP(A18, Master_List!A:A, Master_List!B:B, "Invalid ID"))</f>
        <v/>
      </c>
      <c r="C18" t="str">
        <f>IF(B18="","",_xlfn.XLOOKUP(B18, Master_List!B:B, Master_List!C:C, "Not Found"))</f>
        <v/>
      </c>
    </row>
    <row r="19" spans="2:3">
      <c r="B19" t="str">
        <f>IF(A19="","", _xlfn.XLOOKUP(A19, Master_List!A:A, Master_List!B:B, "Invalid ID"))</f>
        <v/>
      </c>
      <c r="C19" t="str">
        <f>IF(B19="","",_xlfn.XLOOKUP(B19, Master_List!B:B, Master_List!C:C, "Not Found"))</f>
        <v/>
      </c>
    </row>
    <row r="20" spans="2:3">
      <c r="B20" t="str">
        <f>IF(A20="","", _xlfn.XLOOKUP(A20, Master_List!A:A, Master_List!B:B, "Invalid ID"))</f>
        <v/>
      </c>
      <c r="C20" t="str">
        <f>IF(B20="","",_xlfn.XLOOKUP(B20, Master_List!B:B, Master_List!C:C, "Not Found"))</f>
        <v/>
      </c>
    </row>
    <row r="21" spans="2:3">
      <c r="B21" t="str">
        <f>IF(A21="","", _xlfn.XLOOKUP(A21, Master_List!A:A, Master_List!B:B, "Invalid ID"))</f>
        <v/>
      </c>
      <c r="C21" t="str">
        <f>IF(B21="","",_xlfn.XLOOKUP(B21, Master_List!B:B, Master_List!C:C, "Not Found"))</f>
        <v/>
      </c>
    </row>
    <row r="22" spans="2:3">
      <c r="B22" t="str">
        <f>IF(A22="","", _xlfn.XLOOKUP(A22, Master_List!A:A, Master_List!B:B, "Invalid ID"))</f>
        <v/>
      </c>
      <c r="C22" t="str">
        <f>IF(B22="","",_xlfn.XLOOKUP(B22, Master_List!B:B, Master_List!C:C, "Not Found"))</f>
        <v/>
      </c>
    </row>
    <row r="23" spans="2:3">
      <c r="B23" t="str">
        <f>IF(A23="","", _xlfn.XLOOKUP(A23, Master_List!A:A, Master_List!B:B, "Invalid ID"))</f>
        <v/>
      </c>
      <c r="C23" t="str">
        <f>IF(B23="","",_xlfn.XLOOKUP(B23, Master_List!B:B, Master_List!C:C, "Not Found"))</f>
        <v/>
      </c>
    </row>
    <row r="24" spans="2:3">
      <c r="B24" t="str">
        <f>IF(A24="","", _xlfn.XLOOKUP(A24, Master_List!A:A, Master_List!B:B, "Invalid ID"))</f>
        <v/>
      </c>
      <c r="C24" t="str">
        <f>IF(B24="","",_xlfn.XLOOKUP(B24, Master_List!B:B, Master_List!C:C, "Not Found"))</f>
        <v/>
      </c>
    </row>
    <row r="25" spans="2:3">
      <c r="B25" t="str">
        <f>IF(A25="","", _xlfn.XLOOKUP(A25, Master_List!A:A, Master_List!B:B, "Invalid ID"))</f>
        <v/>
      </c>
      <c r="C25" t="str">
        <f>IF(B25="","",_xlfn.XLOOKUP(B25, Master_List!B:B, Master_List!C:C, "Not Found"))</f>
        <v/>
      </c>
    </row>
    <row r="26" spans="2:3">
      <c r="B26" t="str">
        <f>IF(A26="","", _xlfn.XLOOKUP(A26, Master_List!A:A, Master_List!B:B, "Invalid ID"))</f>
        <v/>
      </c>
      <c r="C26" t="str">
        <f>IF(B26="","",_xlfn.XLOOKUP(B26, Master_List!B:B, Master_List!C:C, "Not Found"))</f>
        <v/>
      </c>
    </row>
    <row r="27" spans="2:3">
      <c r="B27" t="str">
        <f>IF(A27="","", _xlfn.XLOOKUP(A27, Master_List!A:A, Master_List!B:B, "Invalid ID"))</f>
        <v/>
      </c>
      <c r="C27" t="str">
        <f>IF(B27="","",_xlfn.XLOOKUP(B27, Master_List!B:B, Master_List!C:C, "Not Found"))</f>
        <v/>
      </c>
    </row>
    <row r="28" spans="2:3">
      <c r="B28" t="str">
        <f>IF(A28="","", _xlfn.XLOOKUP(A28, Master_List!A:A, Master_List!B:B, "Invalid ID"))</f>
        <v/>
      </c>
      <c r="C28" t="str">
        <f>IF(B28="","",_xlfn.XLOOKUP(B28, Master_List!B:B, Master_List!C:C, "Not Found"))</f>
        <v/>
      </c>
    </row>
    <row r="29" spans="2:3">
      <c r="B29" t="str">
        <f>IF(A29="","", _xlfn.XLOOKUP(A29, Master_List!A:A, Master_List!B:B, "Invalid ID"))</f>
        <v/>
      </c>
      <c r="C29" t="str">
        <f>IF(B29="","",_xlfn.XLOOKUP(B29, Master_List!B:B, Master_List!C:C, "Not Found"))</f>
        <v/>
      </c>
    </row>
    <row r="30" spans="2:3">
      <c r="B30" t="str">
        <f>IF(A30="","", _xlfn.XLOOKUP(A30, Master_List!A:A, Master_List!B:B, "Invalid ID"))</f>
        <v/>
      </c>
      <c r="C30" t="str">
        <f>IF(B30="","",_xlfn.XLOOKUP(B30, Master_List!B:B, Master_List!C:C, "Not Found"))</f>
        <v/>
      </c>
    </row>
    <row r="31" spans="2:3">
      <c r="B31" t="str">
        <f>IF(A31="","", _xlfn.XLOOKUP(A31, Master_List!A:A, Master_List!B:B, "Invalid ID"))</f>
        <v/>
      </c>
      <c r="C31" t="str">
        <f>IF(B31="","",_xlfn.XLOOKUP(B31, Master_List!B:B, Master_List!C:C, "Not Found"))</f>
        <v/>
      </c>
    </row>
    <row r="32" spans="2:3">
      <c r="B32" t="str">
        <f>IF(A32="","", _xlfn.XLOOKUP(A32, Master_List!A:A, Master_List!B:B, "Invalid ID"))</f>
        <v/>
      </c>
      <c r="C32" t="str">
        <f>IF(B32="","",_xlfn.XLOOKUP(B32, Master_List!B:B, Master_List!C:C, "Not Found"))</f>
        <v/>
      </c>
    </row>
    <row r="33" spans="2:3">
      <c r="B33" t="str">
        <f>IF(A33="","", _xlfn.XLOOKUP(A33, Master_List!A:A, Master_List!B:B, "Invalid ID"))</f>
        <v/>
      </c>
      <c r="C33" t="str">
        <f>IF(B33="","",_xlfn.XLOOKUP(B33, Master_List!B:B, Master_List!C:C, "Not Found"))</f>
        <v/>
      </c>
    </row>
    <row r="34" spans="2:3">
      <c r="B34" t="str">
        <f>IF(A34="","", _xlfn.XLOOKUP(A34, Master_List!A:A, Master_List!B:B, "Invalid ID"))</f>
        <v/>
      </c>
      <c r="C34" t="str">
        <f>IF(B34="","",_xlfn.XLOOKUP(B34, Master_List!B:B, Master_List!C:C, "Not Found"))</f>
        <v/>
      </c>
    </row>
    <row r="35" spans="2:3">
      <c r="B35" t="str">
        <f>IF(A35="","", _xlfn.XLOOKUP(A35, Master_List!A:A, Master_List!B:B, "Invalid ID"))</f>
        <v/>
      </c>
      <c r="C35" t="str">
        <f>IF(B35="","",_xlfn.XLOOKUP(B35, Master_List!B:B, Master_List!C:C, "Not Found"))</f>
        <v/>
      </c>
    </row>
    <row r="36" spans="2:3">
      <c r="B36" t="str">
        <f>IF(A36="","", _xlfn.XLOOKUP(A36, Master_List!A:A, Master_List!B:B, "Invalid ID"))</f>
        <v/>
      </c>
      <c r="C36" t="str">
        <f>IF(B36="","",_xlfn.XLOOKUP(B36, Master_List!B:B, Master_List!C:C, "Not Found"))</f>
        <v/>
      </c>
    </row>
    <row r="37" spans="2:3">
      <c r="B37" t="str">
        <f>IF(A37="","", _xlfn.XLOOKUP(A37, Master_List!A:A, Master_List!B:B, "Invalid ID"))</f>
        <v/>
      </c>
      <c r="C37" t="str">
        <f>IF(B37="","",_xlfn.XLOOKUP(B37, Master_List!B:B, Master_List!C:C, "Not Found"))</f>
        <v/>
      </c>
    </row>
    <row r="38" spans="2:3">
      <c r="B38" t="str">
        <f>IF(A38="","", _xlfn.XLOOKUP(A38, Master_List!A:A, Master_List!B:B, "Invalid ID"))</f>
        <v/>
      </c>
      <c r="C38" t="str">
        <f>IF(B38="","",_xlfn.XLOOKUP(B38, Master_List!B:B, Master_List!C:C, "Not Found"))</f>
        <v/>
      </c>
    </row>
    <row r="39" spans="2:3">
      <c r="B39" t="str">
        <f>IF(A39="","", _xlfn.XLOOKUP(A39, Master_List!A:A, Master_List!B:B, "Invalid ID"))</f>
        <v/>
      </c>
      <c r="C39" t="str">
        <f>IF(B39="","",_xlfn.XLOOKUP(B39, Master_List!B:B, Master_List!C:C, "Not Found"))</f>
        <v/>
      </c>
    </row>
    <row r="40" spans="2:3">
      <c r="B40" t="str">
        <f>IF(A40="","", _xlfn.XLOOKUP(A40, Master_List!A:A, Master_List!B:B, "Invalid ID"))</f>
        <v/>
      </c>
      <c r="C40" t="str">
        <f>IF(B40="","",_xlfn.XLOOKUP(B40, Master_List!B:B, Master_List!C:C, "Not Found"))</f>
        <v/>
      </c>
    </row>
    <row r="41" spans="2:3">
      <c r="B41" t="str">
        <f>IF(A41="","", _xlfn.XLOOKUP(A41, Master_List!A:A, Master_List!B:B, "Invalid ID"))</f>
        <v/>
      </c>
      <c r="C41" t="str">
        <f>IF(B41="","",_xlfn.XLOOKUP(B41, Master_List!B:B, Master_List!C:C, "Not Found"))</f>
        <v/>
      </c>
    </row>
    <row r="42" spans="2:3">
      <c r="B42" t="str">
        <f>IF(A42="","", _xlfn.XLOOKUP(A42, Master_List!A:A, Master_List!B:B, "Invalid ID"))</f>
        <v/>
      </c>
      <c r="C42" t="str">
        <f>IF(B42="","",_xlfn.XLOOKUP(B42, Master_List!B:B, Master_List!C:C, "Not Found"))</f>
        <v/>
      </c>
    </row>
    <row r="43" spans="2:3">
      <c r="B43" t="str">
        <f>IF(A43="","", _xlfn.XLOOKUP(A43, Master_List!A:A, Master_List!B:B, "Invalid ID"))</f>
        <v/>
      </c>
      <c r="C43" t="str">
        <f>IF(B43="","",_xlfn.XLOOKUP(B43, Master_List!B:B, Master_List!C:C, "Not Found"))</f>
        <v/>
      </c>
    </row>
    <row r="44" spans="2:3">
      <c r="B44" t="str">
        <f>IF(A44="","", _xlfn.XLOOKUP(A44, Master_List!A:A, Master_List!B:B, "Invalid ID"))</f>
        <v/>
      </c>
      <c r="C44" t="str">
        <f>IF(B44="","",_xlfn.XLOOKUP(B44, Master_List!B:B, Master_List!C:C, "Not Found"))</f>
        <v/>
      </c>
    </row>
    <row r="45" spans="2:3">
      <c r="B45" t="str">
        <f>IF(A45="","", _xlfn.XLOOKUP(A45, Master_List!A:A, Master_List!B:B, "Invalid ID"))</f>
        <v/>
      </c>
      <c r="C45" t="str">
        <f>IF(B45="","",_xlfn.XLOOKUP(B45, Master_List!B:B, Master_List!C:C, "Not Found"))</f>
        <v/>
      </c>
    </row>
    <row r="46" spans="2:3">
      <c r="B46" t="str">
        <f>IF(A46="","", _xlfn.XLOOKUP(A46, Master_List!A:A, Master_List!B:B, "Invalid ID"))</f>
        <v/>
      </c>
      <c r="C46" t="str">
        <f>IF(B46="","",_xlfn.XLOOKUP(B46, Master_List!B:B, Master_List!C:C, "Not Found"))</f>
        <v/>
      </c>
    </row>
    <row r="47" spans="2:3">
      <c r="B47" t="str">
        <f>IF(A47="","", _xlfn.XLOOKUP(A47, Master_List!A:A, Master_List!B:B, "Invalid ID"))</f>
        <v/>
      </c>
      <c r="C47" t="str">
        <f>IF(B47="","",_xlfn.XLOOKUP(B47, Master_List!B:B, Master_List!C:C, "Not Found"))</f>
        <v/>
      </c>
    </row>
    <row r="48" spans="2:3">
      <c r="B48" t="str">
        <f>IF(A48="","", _xlfn.XLOOKUP(A48, Master_List!A:A, Master_List!B:B, "Invalid ID"))</f>
        <v/>
      </c>
      <c r="C48" t="str">
        <f>IF(B48="","",_xlfn.XLOOKUP(B48, Master_List!B:B, Master_List!C:C, "Not Found"))</f>
        <v/>
      </c>
    </row>
    <row r="49" spans="2:3">
      <c r="B49" t="str">
        <f>IF(A49="","", _xlfn.XLOOKUP(A49, Master_List!A:A, Master_List!B:B, "Invalid ID"))</f>
        <v/>
      </c>
      <c r="C49" t="str">
        <f>IF(B49="","",_xlfn.XLOOKUP(B49, Master_List!B:B, Master_List!C:C, "Not Found"))</f>
        <v/>
      </c>
    </row>
    <row r="50" spans="2:3">
      <c r="B50" t="str">
        <f>IF(A50="","", _xlfn.XLOOKUP(A50, Master_List!A:A, Master_List!B:B, "Invalid ID"))</f>
        <v/>
      </c>
      <c r="C50" t="str">
        <f>IF(B50="","",_xlfn.XLOOKUP(B50, Master_List!B:B, Master_List!C:C, "Not Found"))</f>
        <v/>
      </c>
    </row>
    <row r="51" spans="2:3">
      <c r="B51" t="str">
        <f>IF(A51="","", _xlfn.XLOOKUP(A51, Master_List!A:A, Master_List!B:B, "Invalid ID"))</f>
        <v/>
      </c>
      <c r="C51" t="str">
        <f>IF(B51="","",_xlfn.XLOOKUP(B51, Master_List!B:B, Master_List!C:C, "Not Found"))</f>
        <v/>
      </c>
    </row>
    <row r="52" spans="2:3">
      <c r="B52" t="str">
        <f>IF(A52="","", _xlfn.XLOOKUP(A52, Master_List!A:A, Master_List!B:B, "Invalid ID"))</f>
        <v/>
      </c>
      <c r="C52" t="str">
        <f>IF(B52="","",_xlfn.XLOOKUP(B52, Master_List!B:B, Master_List!C:C, "Not Found"))</f>
        <v/>
      </c>
    </row>
    <row r="53" spans="2:3">
      <c r="B53" t="str">
        <f>IF(A53="","", _xlfn.XLOOKUP(A53, Master_List!A:A, Master_List!B:B, "Invalid ID"))</f>
        <v/>
      </c>
      <c r="C53" t="str">
        <f>IF(B53="","",_xlfn.XLOOKUP(B53, Master_List!B:B, Master_List!C:C, "Not Found"))</f>
        <v/>
      </c>
    </row>
    <row r="54" spans="2:3">
      <c r="B54" t="str">
        <f>IF(A54="","", _xlfn.XLOOKUP(A54, Master_List!A:A, Master_List!B:B, "Invalid ID"))</f>
        <v/>
      </c>
      <c r="C54" t="str">
        <f>IF(B54="","",_xlfn.XLOOKUP(B54, Master_List!B:B, Master_List!C:C, "Not Found"))</f>
        <v/>
      </c>
    </row>
    <row r="55" spans="2:3">
      <c r="B55" t="str">
        <f>IF(A55="","", _xlfn.XLOOKUP(A55, Master_List!A:A, Master_List!B:B, "Invalid ID"))</f>
        <v/>
      </c>
      <c r="C55" t="str">
        <f>IF(B55="","",_xlfn.XLOOKUP(B55, Master_List!B:B, Master_List!C:C, "Not Found"))</f>
        <v/>
      </c>
    </row>
    <row r="56" spans="2:3">
      <c r="B56" t="str">
        <f>IF(A56="","", _xlfn.XLOOKUP(A56, Master_List!A:A, Master_List!B:B, "Invalid ID"))</f>
        <v/>
      </c>
      <c r="C56" t="str">
        <f>IF(B56="","",_xlfn.XLOOKUP(B56, Master_List!B:B, Master_List!C:C, "Not Found"))</f>
        <v/>
      </c>
    </row>
    <row r="57" spans="2:3">
      <c r="B57" t="str">
        <f>IF(A57="","", _xlfn.XLOOKUP(A57, Master_List!A:A, Master_List!B:B, "Invalid ID"))</f>
        <v/>
      </c>
      <c r="C57" t="str">
        <f>IF(B57="","",_xlfn.XLOOKUP(B57, Master_List!B:B, Master_List!C:C, "Not Found"))</f>
        <v/>
      </c>
    </row>
    <row r="58" spans="2:3">
      <c r="B58" t="str">
        <f>IF(A58="","", _xlfn.XLOOKUP(A58, Master_List!A:A, Master_List!B:B, "Invalid ID"))</f>
        <v/>
      </c>
      <c r="C58" t="str">
        <f>IF(B58="","",_xlfn.XLOOKUP(B58, Master_List!B:B, Master_List!C:C, "Not Found"))</f>
        <v/>
      </c>
    </row>
    <row r="59" spans="2:3">
      <c r="B59" t="str">
        <f>IF(A59="","", _xlfn.XLOOKUP(A59, Master_List!A:A, Master_List!B:B, "Invalid ID"))</f>
        <v/>
      </c>
      <c r="C59" t="str">
        <f>IF(B59="","",_xlfn.XLOOKUP(B59, Master_List!B:B, Master_List!C:C, "Not Found"))</f>
        <v/>
      </c>
    </row>
    <row r="60" spans="2:3">
      <c r="B60" t="str">
        <f>IF(A60="","", _xlfn.XLOOKUP(A60, Master_List!A:A, Master_List!B:B, "Invalid ID"))</f>
        <v/>
      </c>
      <c r="C60" t="str">
        <f>IF(B60="","",_xlfn.XLOOKUP(B60, Master_List!B:B, Master_List!C:C, "Not Found"))</f>
        <v/>
      </c>
    </row>
    <row r="61" spans="2:3">
      <c r="B61" t="str">
        <f>IF(A61="","", _xlfn.XLOOKUP(A61, Master_List!A:A, Master_List!B:B, "Invalid ID"))</f>
        <v/>
      </c>
      <c r="C61" t="str">
        <f>IF(B61="","",_xlfn.XLOOKUP(B61, Master_List!B:B, Master_List!C:C, "Not Found"))</f>
        <v/>
      </c>
    </row>
    <row r="62" spans="2:3">
      <c r="B62" t="str">
        <f>IF(A62="","", _xlfn.XLOOKUP(A62, Master_List!A:A, Master_List!B:B, "Invalid ID"))</f>
        <v/>
      </c>
      <c r="C62" t="str">
        <f>IF(B62="","",_xlfn.XLOOKUP(B62, Master_List!B:B, Master_List!C:C, "Not Found"))</f>
        <v/>
      </c>
    </row>
    <row r="63" spans="2:3">
      <c r="B63" t="str">
        <f>IF(A63="","", _xlfn.XLOOKUP(A63, Master_List!A:A, Master_List!B:B, "Invalid ID"))</f>
        <v/>
      </c>
      <c r="C63" t="str">
        <f>IF(B63="","",_xlfn.XLOOKUP(B63, Master_List!B:B, Master_List!C:C, "Not Found"))</f>
        <v/>
      </c>
    </row>
    <row r="64" spans="2:3">
      <c r="B64" t="str">
        <f>IF(A64="","", _xlfn.XLOOKUP(A64, Master_List!A:A, Master_List!B:B, "Invalid ID"))</f>
        <v/>
      </c>
      <c r="C64" t="str">
        <f>IF(B64="","",_xlfn.XLOOKUP(B64, Master_List!B:B, Master_List!C:C, "Not Found"))</f>
        <v/>
      </c>
    </row>
    <row r="65" spans="2:3">
      <c r="B65" t="str">
        <f>IF(A65="","", _xlfn.XLOOKUP(A65, Master_List!A:A, Master_List!B:B, "Invalid ID"))</f>
        <v/>
      </c>
      <c r="C65" t="str">
        <f>IF(B65="","",_xlfn.XLOOKUP(B65, Master_List!B:B, Master_List!C:C, "Not Found"))</f>
        <v/>
      </c>
    </row>
    <row r="66" spans="2:3">
      <c r="B66" t="str">
        <f>IF(A66="","", _xlfn.XLOOKUP(A66, Master_List!A:A, Master_List!B:B, "Invalid ID"))</f>
        <v/>
      </c>
      <c r="C66" t="str">
        <f>IF(B66="","",_xlfn.XLOOKUP(B66, Master_List!B:B, Master_List!C:C, "Not Found"))</f>
        <v/>
      </c>
    </row>
    <row r="67" spans="2:3">
      <c r="B67" t="str">
        <f>IF(A67="","", _xlfn.XLOOKUP(A67, Master_List!A:A, Master_List!B:B, "Invalid ID"))</f>
        <v/>
      </c>
      <c r="C67" t="str">
        <f>IF(B67="","",_xlfn.XLOOKUP(B67, Master_List!B:B, Master_List!C:C, "Not Found"))</f>
        <v/>
      </c>
    </row>
    <row r="68" spans="2:3">
      <c r="B68" t="str">
        <f>IF(A68="","", _xlfn.XLOOKUP(A68, Master_List!A:A, Master_List!B:B, "Invalid ID"))</f>
        <v/>
      </c>
      <c r="C68" t="str">
        <f>IF(B68="","",_xlfn.XLOOKUP(B68, Master_List!B:B, Master_List!C:C, "Not Found"))</f>
        <v/>
      </c>
    </row>
    <row r="69" spans="2:3">
      <c r="B69" t="str">
        <f>IF(A69="","", _xlfn.XLOOKUP(A69, Master_List!A:A, Master_List!B:B, "Invalid ID"))</f>
        <v/>
      </c>
      <c r="C69" t="str">
        <f>IF(B69="","",_xlfn.XLOOKUP(B69, Master_List!B:B, Master_List!C:C, "Not Found"))</f>
        <v/>
      </c>
    </row>
    <row r="70" spans="2:3">
      <c r="B70" t="str">
        <f>IF(A70="","", _xlfn.XLOOKUP(A70, Master_List!A:A, Master_List!B:B, "Invalid ID"))</f>
        <v/>
      </c>
      <c r="C70" t="str">
        <f>IF(B70="","",_xlfn.XLOOKUP(B70, Master_List!B:B, Master_List!C:C, "Not Found"))</f>
        <v/>
      </c>
    </row>
    <row r="71" spans="2:3">
      <c r="B71" t="str">
        <f>IF(A71="","", _xlfn.XLOOKUP(A71, Master_List!A:A, Master_List!B:B, "Invalid ID"))</f>
        <v/>
      </c>
      <c r="C71" t="str">
        <f>IF(B71="","",_xlfn.XLOOKUP(B71, Master_List!B:B, Master_List!C:C, "Not Found"))</f>
        <v/>
      </c>
    </row>
    <row r="72" spans="2:3">
      <c r="B72" t="str">
        <f>IF(A72="","", _xlfn.XLOOKUP(A72, Master_List!A:A, Master_List!B:B, "Invalid ID"))</f>
        <v/>
      </c>
      <c r="C72" t="str">
        <f>IF(B72="","",_xlfn.XLOOKUP(B72, Master_List!B:B, Master_List!C:C, "Not Found"))</f>
        <v/>
      </c>
    </row>
    <row r="73" spans="2:3">
      <c r="B73" t="str">
        <f>IF(A73="","", _xlfn.XLOOKUP(A73, Master_List!A:A, Master_List!B:B, "Invalid ID"))</f>
        <v/>
      </c>
      <c r="C73" t="str">
        <f>IF(B73="","",_xlfn.XLOOKUP(B73, Master_List!B:B, Master_List!C:C, "Not Found"))</f>
        <v/>
      </c>
    </row>
    <row r="74" spans="2:3">
      <c r="B74" t="str">
        <f>IF(A74="","", _xlfn.XLOOKUP(A74, Master_List!A:A, Master_List!B:B, "Invalid ID"))</f>
        <v/>
      </c>
      <c r="C74" t="str">
        <f>IF(B74="","",_xlfn.XLOOKUP(B74, Master_List!B:B, Master_List!C:C, "Not Found"))</f>
        <v/>
      </c>
    </row>
    <row r="75" spans="2:3">
      <c r="B75" t="str">
        <f>IF(A75="","", _xlfn.XLOOKUP(A75, Master_List!A:A, Master_List!B:B, "Invalid ID"))</f>
        <v/>
      </c>
      <c r="C75" t="str">
        <f>IF(B75="","",_xlfn.XLOOKUP(B75, Master_List!B:B, Master_List!C:C, "Not Found"))</f>
        <v/>
      </c>
    </row>
    <row r="76" spans="2:3">
      <c r="B76" t="str">
        <f>IF(A76="","", _xlfn.XLOOKUP(A76, Master_List!A:A, Master_List!B:B, "Invalid ID"))</f>
        <v/>
      </c>
      <c r="C76" t="str">
        <f>IF(B76="","",_xlfn.XLOOKUP(B76, Master_List!B:B, Master_List!C:C, "Not Found"))</f>
        <v/>
      </c>
    </row>
    <row r="77" spans="2:3">
      <c r="B77" t="str">
        <f>IF(A77="","", _xlfn.XLOOKUP(A77, Master_List!A:A, Master_List!B:B, "Invalid ID"))</f>
        <v/>
      </c>
      <c r="C77" t="str">
        <f>IF(B77="","",_xlfn.XLOOKUP(B77, Master_List!B:B, Master_List!C:C, "Not Found"))</f>
        <v/>
      </c>
    </row>
    <row r="78" spans="2:3">
      <c r="B78" t="str">
        <f>IF(A78="","", _xlfn.XLOOKUP(A78, Master_List!A:A, Master_List!B:B, "Invalid ID"))</f>
        <v/>
      </c>
      <c r="C78" t="str">
        <f>IF(B78="","",_xlfn.XLOOKUP(B78, Master_List!B:B, Master_List!C:C, "Not Found"))</f>
        <v/>
      </c>
    </row>
    <row r="79" spans="2:3">
      <c r="B79" t="str">
        <f>IF(A79="","", _xlfn.XLOOKUP(A79, Master_List!A:A, Master_List!B:B, "Invalid ID"))</f>
        <v/>
      </c>
      <c r="C79" t="str">
        <f>IF(B79="","",_xlfn.XLOOKUP(B79, Master_List!B:B, Master_List!C:C, "Not Found"))</f>
        <v/>
      </c>
    </row>
    <row r="80" spans="2:3">
      <c r="B80" t="str">
        <f>IF(A80="","", _xlfn.XLOOKUP(A80, Master_List!A:A, Master_List!B:B, "Invalid ID"))</f>
        <v/>
      </c>
      <c r="C80" t="str">
        <f>IF(B80="","",_xlfn.XLOOKUP(B80, Master_List!B:B, Master_List!C:C, "Not Found"))</f>
        <v/>
      </c>
    </row>
    <row r="81" spans="2:3">
      <c r="B81" t="str">
        <f>IF(A81="","", _xlfn.XLOOKUP(A81, Master_List!A:A, Master_List!B:B, "Invalid ID"))</f>
        <v/>
      </c>
      <c r="C81" t="str">
        <f>IF(B81="","",_xlfn.XLOOKUP(B81, Master_List!B:B, Master_List!C:C, "Not Found"))</f>
        <v/>
      </c>
    </row>
    <row r="82" spans="2:3">
      <c r="B82" t="str">
        <f>IF(A82="","", _xlfn.XLOOKUP(A82, Master_List!A:A, Master_List!B:B, "Invalid ID"))</f>
        <v/>
      </c>
      <c r="C82" t="str">
        <f>IF(B82="","",_xlfn.XLOOKUP(B82, Master_List!B:B, Master_List!C:C, "Not Found"))</f>
        <v/>
      </c>
    </row>
    <row r="83" spans="2:3">
      <c r="B83" t="str">
        <f>IF(A83="","", _xlfn.XLOOKUP(A83, Master_List!A:A, Master_List!B:B, "Invalid ID"))</f>
        <v/>
      </c>
      <c r="C83" t="str">
        <f>IF(B83="","",_xlfn.XLOOKUP(B83, Master_List!B:B, Master_List!C:C, "Not Found"))</f>
        <v/>
      </c>
    </row>
    <row r="84" spans="2:3">
      <c r="B84" t="str">
        <f>IF(A84="","", _xlfn.XLOOKUP(A84, Master_List!A:A, Master_List!B:B, "Invalid ID"))</f>
        <v/>
      </c>
      <c r="C84" t="str">
        <f>IF(B84="","",_xlfn.XLOOKUP(B84, Master_List!B:B, Master_List!C:C, "Not Found"))</f>
        <v/>
      </c>
    </row>
    <row r="85" spans="2:3">
      <c r="B85" t="str">
        <f>IF(A85="","", _xlfn.XLOOKUP(A85, Master_List!A:A, Master_List!B:B, "Invalid ID"))</f>
        <v/>
      </c>
      <c r="C85" t="str">
        <f>IF(B85="","",_xlfn.XLOOKUP(B85, Master_List!B:B, Master_List!C:C, "Not Found"))</f>
        <v/>
      </c>
    </row>
    <row r="86" spans="2:3">
      <c r="B86" t="str">
        <f>IF(A86="","", _xlfn.XLOOKUP(A86, Master_List!A:A, Master_List!B:B, "Invalid ID"))</f>
        <v/>
      </c>
      <c r="C86" t="str">
        <f>IF(B86="","",_xlfn.XLOOKUP(B86, Master_List!B:B, Master_List!C:C, "Not Found"))</f>
        <v/>
      </c>
    </row>
    <row r="87" spans="2:3">
      <c r="B87" t="str">
        <f>IF(A87="","", _xlfn.XLOOKUP(A87, Master_List!A:A, Master_List!B:B, "Invalid ID"))</f>
        <v/>
      </c>
      <c r="C87" t="str">
        <f>IF(B87="","",_xlfn.XLOOKUP(B87, Master_List!B:B, Master_List!C:C, "Not Found"))</f>
        <v/>
      </c>
    </row>
    <row r="88" spans="2:3">
      <c r="B88" t="str">
        <f>IF(A88="","", _xlfn.XLOOKUP(A88, Master_List!A:A, Master_List!B:B, "Invalid ID"))</f>
        <v/>
      </c>
      <c r="C88" t="str">
        <f>IF(B88="","",_xlfn.XLOOKUP(B88, Master_List!B:B, Master_List!C:C, "Not Found"))</f>
        <v/>
      </c>
    </row>
    <row r="89" spans="2:3">
      <c r="B89" t="str">
        <f>IF(A89="","", _xlfn.XLOOKUP(A89, Master_List!A:A, Master_List!B:B, "Invalid ID"))</f>
        <v/>
      </c>
      <c r="C89" t="str">
        <f>IF(B89="","",_xlfn.XLOOKUP(B89, Master_List!B:B, Master_List!C:C, "Not Found"))</f>
        <v/>
      </c>
    </row>
    <row r="90" spans="2:3">
      <c r="B90" t="str">
        <f>IF(A90="","", _xlfn.XLOOKUP(A90, Master_List!A:A, Master_List!B:B, "Invalid ID"))</f>
        <v/>
      </c>
      <c r="C90" t="str">
        <f>IF(B90="","",_xlfn.XLOOKUP(B90, Master_List!B:B, Master_List!C:C, "Not Found"))</f>
        <v/>
      </c>
    </row>
    <row r="91" spans="2:3">
      <c r="B91" t="str">
        <f>IF(A91="","", _xlfn.XLOOKUP(A91, Master_List!A:A, Master_List!B:B, "Invalid ID"))</f>
        <v/>
      </c>
      <c r="C91" t="str">
        <f>IF(B91="","",_xlfn.XLOOKUP(B91, Master_List!B:B, Master_List!C:C, "Not Found"))</f>
        <v/>
      </c>
    </row>
    <row r="92" spans="2:3">
      <c r="B92" t="str">
        <f>IF(A92="","", _xlfn.XLOOKUP(A92, Master_List!A:A, Master_List!B:B, "Invalid ID"))</f>
        <v/>
      </c>
      <c r="C92" t="str">
        <f>IF(B92="","",_xlfn.XLOOKUP(B92, Master_List!B:B, Master_List!C:C, "Not Found"))</f>
        <v/>
      </c>
    </row>
    <row r="93" spans="2:3">
      <c r="B93" t="str">
        <f>IF(A93="","", _xlfn.XLOOKUP(A93, Master_List!A:A, Master_List!B:B, "Invalid ID"))</f>
        <v/>
      </c>
      <c r="C93" t="str">
        <f>IF(B93="","",_xlfn.XLOOKUP(B93, Master_List!B:B, Master_List!C:C, "Not Found"))</f>
        <v/>
      </c>
    </row>
    <row r="94" spans="2:3">
      <c r="B94" t="str">
        <f>IF(A94="","", _xlfn.XLOOKUP(A94, Master_List!A:A, Master_List!B:B, "Invalid ID"))</f>
        <v/>
      </c>
      <c r="C94" t="str">
        <f>IF(B94="","",_xlfn.XLOOKUP(B94, Master_List!B:B, Master_List!C:C, "Not Found"))</f>
        <v/>
      </c>
    </row>
    <row r="95" spans="2:3">
      <c r="B95" t="str">
        <f>IF(A95="","", _xlfn.XLOOKUP(A95, Master_List!A:A, Master_List!B:B, "Invalid ID"))</f>
        <v/>
      </c>
      <c r="C95" t="str">
        <f>IF(B95="","",_xlfn.XLOOKUP(B95, Master_List!B:B, Master_List!C:C, "Not Found"))</f>
        <v/>
      </c>
    </row>
    <row r="96" spans="2:3">
      <c r="B96" t="str">
        <f>IF(A96="","", _xlfn.XLOOKUP(A96, Master_List!A:A, Master_List!B:B, "Invalid ID"))</f>
        <v/>
      </c>
      <c r="C96" t="str">
        <f>IF(B96="","",_xlfn.XLOOKUP(B96, Master_List!B:B, Master_List!C:C, "Not Found"))</f>
        <v/>
      </c>
    </row>
    <row r="97" spans="2:3">
      <c r="B97" t="str">
        <f>IF(A97="","", _xlfn.XLOOKUP(A97, Master_List!A:A, Master_List!B:B, "Invalid ID"))</f>
        <v/>
      </c>
      <c r="C97" t="str">
        <f>IF(B97="","",_xlfn.XLOOKUP(B97, Master_List!B:B, Master_List!C:C, "Not Found"))</f>
        <v/>
      </c>
    </row>
    <row r="98" spans="2:3">
      <c r="B98" t="str">
        <f>IF(A98="","", _xlfn.XLOOKUP(A98, Master_List!A:A, Master_List!B:B, "Invalid ID"))</f>
        <v/>
      </c>
      <c r="C98" t="str">
        <f>IF(B98="","",_xlfn.XLOOKUP(B98, Master_List!B:B, Master_List!C:C, "Not Found"))</f>
        <v/>
      </c>
    </row>
    <row r="99" spans="2:3">
      <c r="B99" t="str">
        <f>IF(A99="","", _xlfn.XLOOKUP(A99, Master_List!A:A, Master_List!B:B, "Invalid ID"))</f>
        <v/>
      </c>
      <c r="C99" t="str">
        <f>IF(B99="","",_xlfn.XLOOKUP(B99, Master_List!B:B, Master_List!C:C, "Not Found"))</f>
        <v/>
      </c>
    </row>
    <row r="100" spans="2:3">
      <c r="B100" t="str">
        <f>IF(A100="","", _xlfn.XLOOKUP(A100, Master_List!A:A, Master_List!B:B, "Invalid ID"))</f>
        <v/>
      </c>
      <c r="C100" t="str">
        <f>IF(B100="","",_xlfn.XLOOKUP(B100, Master_List!B:B, Master_List!C:C, "Not Found"))</f>
        <v/>
      </c>
    </row>
    <row r="101" spans="2:3">
      <c r="B101" t="str">
        <f>IF(A101="","", _xlfn.XLOOKUP(A101, Master_List!A:A, Master_List!B:B, "Invalid ID"))</f>
        <v/>
      </c>
      <c r="C101" t="str">
        <f>IF(B101="","",_xlfn.XLOOKUP(B101, Master_List!B:B, Master_List!C:C, "Not Found"))</f>
        <v/>
      </c>
    </row>
    <row r="102" spans="2:3">
      <c r="B102" t="str">
        <f>IF(A102="","", _xlfn.XLOOKUP(A102, Master_List!A:A, Master_List!B:B, "Invalid ID"))</f>
        <v/>
      </c>
      <c r="C102" t="str">
        <f>IF(B102="","",_xlfn.XLOOKUP(B102, Master_List!B:B, Master_List!C:C, "Not Found"))</f>
        <v/>
      </c>
    </row>
    <row r="103" spans="2:3">
      <c r="B103" t="str">
        <f>IF(A103="","", _xlfn.XLOOKUP(A103, Master_List!A:A, Master_List!B:B, "Invalid ID"))</f>
        <v/>
      </c>
      <c r="C103" t="str">
        <f>IF(B103="","",_xlfn.XLOOKUP(B103, Master_List!B:B, Master_List!C:C, "Not Found"))</f>
        <v/>
      </c>
    </row>
    <row r="104" spans="2:3">
      <c r="B104" t="str">
        <f>IF(A104="","", _xlfn.XLOOKUP(A104, Master_List!A:A, Master_List!B:B, "Invalid ID"))</f>
        <v/>
      </c>
      <c r="C104" t="str">
        <f>IF(B104="","",_xlfn.XLOOKUP(B104, Master_List!B:B, Master_List!C:C, "Not Found"))</f>
        <v/>
      </c>
    </row>
    <row r="105" spans="2:3">
      <c r="B105" t="str">
        <f>IF(A105="","", _xlfn.XLOOKUP(A105, Master_List!A:A, Master_List!B:B, "Invalid ID"))</f>
        <v/>
      </c>
      <c r="C105" t="str">
        <f>IF(B105="","",_xlfn.XLOOKUP(B105, Master_List!B:B, Master_List!C:C, "Not Found"))</f>
        <v/>
      </c>
    </row>
    <row r="106" spans="2:3">
      <c r="B106" t="str">
        <f>IF(A106="","", _xlfn.XLOOKUP(A106, Master_List!A:A, Master_List!B:B, "Invalid ID"))</f>
        <v/>
      </c>
      <c r="C106" t="str">
        <f>IF(B106="","",_xlfn.XLOOKUP(B106, Master_List!B:B, Master_List!C:C, "Not Found"))</f>
        <v/>
      </c>
    </row>
    <row r="107" spans="2:3">
      <c r="B107" t="str">
        <f>IF(A107="","", _xlfn.XLOOKUP(A107, Master_List!A:A, Master_List!B:B, "Invalid ID"))</f>
        <v/>
      </c>
      <c r="C107" t="str">
        <f>IF(B107="","",_xlfn.XLOOKUP(B107, Master_List!B:B, Master_List!C:C, "Not Found"))</f>
        <v/>
      </c>
    </row>
    <row r="108" spans="2:3">
      <c r="B108" t="str">
        <f>IF(A108="","", _xlfn.XLOOKUP(A108, Master_List!A:A, Master_List!B:B, "Invalid ID"))</f>
        <v/>
      </c>
      <c r="C108" t="str">
        <f>IF(B108="","",_xlfn.XLOOKUP(B108, Master_List!B:B, Master_List!C:C, "Not Found"))</f>
        <v/>
      </c>
    </row>
    <row r="109" spans="2:3">
      <c r="B109" t="str">
        <f>IF(A109="","", _xlfn.XLOOKUP(A109, Master_List!A:A, Master_List!B:B, "Invalid ID"))</f>
        <v/>
      </c>
      <c r="C109" t="str">
        <f>IF(B109="","",_xlfn.XLOOKUP(B109, Master_List!B:B, Master_List!C:C, "Not Found"))</f>
        <v/>
      </c>
    </row>
    <row r="110" spans="2:3">
      <c r="B110" t="str">
        <f>IF(A110="","", _xlfn.XLOOKUP(A110, Master_List!A:A, Master_List!B:B, "Invalid ID"))</f>
        <v/>
      </c>
      <c r="C110" t="str">
        <f>IF(B110="","",_xlfn.XLOOKUP(B110, Master_List!B:B, Master_List!C:C, "Not Found"))</f>
        <v/>
      </c>
    </row>
    <row r="111" spans="2:3">
      <c r="B111" t="str">
        <f>IF(A111="","", _xlfn.XLOOKUP(A111, Master_List!A:A, Master_List!B:B, "Invalid ID"))</f>
        <v/>
      </c>
      <c r="C111" t="str">
        <f>IF(B111="","",_xlfn.XLOOKUP(B111, Master_List!B:B, Master_List!C:C, "Not Found"))</f>
        <v/>
      </c>
    </row>
    <row r="112" spans="2:3">
      <c r="B112" t="str">
        <f>IF(A112="","", _xlfn.XLOOKUP(A112, Master_List!A:A, Master_List!B:B, "Invalid ID"))</f>
        <v/>
      </c>
      <c r="C112" t="str">
        <f>IF(B112="","",_xlfn.XLOOKUP(B112, Master_List!B:B, Master_List!C:C, "Not Found"))</f>
        <v/>
      </c>
    </row>
    <row r="113" spans="2:3">
      <c r="B113" t="str">
        <f>IF(A113="","", _xlfn.XLOOKUP(A113, Master_List!A:A, Master_List!B:B, "Invalid ID"))</f>
        <v/>
      </c>
      <c r="C113" t="str">
        <f>IF(B113="","",_xlfn.XLOOKUP(B113, Master_List!B:B, Master_List!C:C, "Not Found"))</f>
        <v/>
      </c>
    </row>
    <row r="114" spans="2:3">
      <c r="B114" t="str">
        <f>IF(A114="","", _xlfn.XLOOKUP(A114, Master_List!A:A, Master_List!B:B, "Invalid ID"))</f>
        <v/>
      </c>
      <c r="C114" t="str">
        <f>IF(B114="","",_xlfn.XLOOKUP(B114, Master_List!B:B, Master_List!C:C, "Not Found"))</f>
        <v/>
      </c>
    </row>
    <row r="115" spans="2:3">
      <c r="B115" t="str">
        <f>IF(A115="","", _xlfn.XLOOKUP(A115, Master_List!A:A, Master_List!B:B, "Invalid ID"))</f>
        <v/>
      </c>
      <c r="C115" t="str">
        <f>IF(B115="","",_xlfn.XLOOKUP(B115, Master_List!B:B, Master_List!C:C, "Not Found"))</f>
        <v/>
      </c>
    </row>
    <row r="116" spans="2:3">
      <c r="B116" t="str">
        <f>IF(A116="","", _xlfn.XLOOKUP(A116, Master_List!A:A, Master_List!B:B, "Invalid ID"))</f>
        <v/>
      </c>
      <c r="C116" t="str">
        <f>IF(B116="","",_xlfn.XLOOKUP(B116, Master_List!B:B, Master_List!C:C, "Not Found"))</f>
        <v/>
      </c>
    </row>
    <row r="117" spans="2:3">
      <c r="B117" t="str">
        <f>IF(A117="","", _xlfn.XLOOKUP(A117, Master_List!A:A, Master_List!B:B, "Invalid ID"))</f>
        <v/>
      </c>
      <c r="C117" t="str">
        <f>IF(B117="","",_xlfn.XLOOKUP(B117, Master_List!B:B, Master_List!C:C, "Not Found"))</f>
        <v/>
      </c>
    </row>
    <row r="118" spans="2:3">
      <c r="B118" t="str">
        <f>IF(A118="","", _xlfn.XLOOKUP(A118, Master_List!A:A, Master_List!B:B, "Invalid ID"))</f>
        <v/>
      </c>
      <c r="C118" t="str">
        <f>IF(B118="","",_xlfn.XLOOKUP(B118, Master_List!B:B, Master_List!C:C, "Not Found"))</f>
        <v/>
      </c>
    </row>
    <row r="119" spans="2:3">
      <c r="B119" t="str">
        <f>IF(A119="","", _xlfn.XLOOKUP(A119, Master_List!A:A, Master_List!B:B, "Invalid ID"))</f>
        <v/>
      </c>
      <c r="C119" t="str">
        <f>IF(B119="","",_xlfn.XLOOKUP(B119, Master_List!B:B, Master_List!C:C, "Not Found"))</f>
        <v/>
      </c>
    </row>
    <row r="120" spans="2:3">
      <c r="B120" t="str">
        <f>IF(A120="","", _xlfn.XLOOKUP(A120, Master_List!A:A, Master_List!B:B, "Invalid ID"))</f>
        <v/>
      </c>
      <c r="C120" t="str">
        <f>IF(B120="","",_xlfn.XLOOKUP(B120, Master_List!B:B, Master_List!C:C, "Not Found"))</f>
        <v/>
      </c>
    </row>
    <row r="121" spans="2:3">
      <c r="B121" t="str">
        <f>IF(A121="","", _xlfn.XLOOKUP(A121, Master_List!A:A, Master_List!B:B, "Invalid ID"))</f>
        <v/>
      </c>
      <c r="C121" t="str">
        <f>IF(B121="","",_xlfn.XLOOKUP(B121, Master_List!B:B, Master_List!C:C, "Not Found"))</f>
        <v/>
      </c>
    </row>
    <row r="122" spans="2:3">
      <c r="B122" t="str">
        <f>IF(A122="","", _xlfn.XLOOKUP(A122, Master_List!A:A, Master_List!B:B, "Invalid ID"))</f>
        <v/>
      </c>
      <c r="C122" t="str">
        <f>IF(B122="","",_xlfn.XLOOKUP(B122, Master_List!B:B, Master_List!C:C, "Not Found"))</f>
        <v/>
      </c>
    </row>
    <row r="123" spans="2:3">
      <c r="B123" t="str">
        <f>IF(A123="","", _xlfn.XLOOKUP(A123, Master_List!A:A, Master_List!B:B, "Invalid ID"))</f>
        <v/>
      </c>
      <c r="C123" t="str">
        <f>IF(B123="","",_xlfn.XLOOKUP(B123, Master_List!B:B, Master_List!C:C, "Not Found"))</f>
        <v/>
      </c>
    </row>
    <row r="124" spans="2:3">
      <c r="B124" t="str">
        <f>IF(A124="","", _xlfn.XLOOKUP(A124, Master_List!A:A, Master_List!B:B, "Invalid ID"))</f>
        <v/>
      </c>
      <c r="C124" t="str">
        <f>IF(B124="","",_xlfn.XLOOKUP(B124, Master_List!B:B, Master_List!C:C, "Not Found"))</f>
        <v/>
      </c>
    </row>
    <row r="125" spans="2:3">
      <c r="B125" t="str">
        <f>IF(A125="","", _xlfn.XLOOKUP(A125, Master_List!A:A, Master_List!B:B, "Invalid ID"))</f>
        <v/>
      </c>
      <c r="C125" t="str">
        <f>IF(B125="","",_xlfn.XLOOKUP(B125, Master_List!B:B, Master_List!C:C, "Not Found"))</f>
        <v/>
      </c>
    </row>
    <row r="126" spans="2:3">
      <c r="B126" t="str">
        <f>IF(A126="","", _xlfn.XLOOKUP(A126, Master_List!A:A, Master_List!B:B, "Invalid ID"))</f>
        <v/>
      </c>
      <c r="C126" t="str">
        <f>IF(B126="","",_xlfn.XLOOKUP(B126, Master_List!B:B, Master_List!C:C, "Not Found"))</f>
        <v/>
      </c>
    </row>
    <row r="127" spans="2:3">
      <c r="B127" t="str">
        <f>IF(A127="","", _xlfn.XLOOKUP(A127, Master_List!A:A, Master_List!B:B, "Invalid ID"))</f>
        <v/>
      </c>
      <c r="C127" t="str">
        <f>IF(B127="","",_xlfn.XLOOKUP(B127, Master_List!B:B, Master_List!C:C, "Not Found"))</f>
        <v/>
      </c>
    </row>
    <row r="128" spans="2:3">
      <c r="B128" t="str">
        <f>IF(A128="","", _xlfn.XLOOKUP(A128, Master_List!A:A, Master_List!B:B, "Invalid ID"))</f>
        <v/>
      </c>
      <c r="C128" t="str">
        <f>IF(B128="","",_xlfn.XLOOKUP(B128, Master_List!B:B, Master_List!C:C, "Not Found"))</f>
        <v/>
      </c>
    </row>
    <row r="129" spans="2:3">
      <c r="B129" t="str">
        <f>IF(A129="","", _xlfn.XLOOKUP(A129, Master_List!A:A, Master_List!B:B, "Invalid ID"))</f>
        <v/>
      </c>
      <c r="C129" t="str">
        <f>IF(B129="","",_xlfn.XLOOKUP(B129, Master_List!B:B, Master_List!C:C, "Not Found"))</f>
        <v/>
      </c>
    </row>
    <row r="130" spans="2:3">
      <c r="B130" t="str">
        <f>IF(A130="","", _xlfn.XLOOKUP(A130, Master_List!A:A, Master_List!B:B, "Invalid ID"))</f>
        <v/>
      </c>
      <c r="C130" t="str">
        <f>IF(B130="","",_xlfn.XLOOKUP(B130, Master_List!B:B, Master_List!C:C, "Not Found"))</f>
        <v/>
      </c>
    </row>
    <row r="131" spans="2:3">
      <c r="B131" t="str">
        <f>IF(A131="","", _xlfn.XLOOKUP(A131, Master_List!A:A, Master_List!B:B, "Invalid ID"))</f>
        <v/>
      </c>
      <c r="C131" t="str">
        <f>IF(B131="","",_xlfn.XLOOKUP(B131, Master_List!B:B, Master_List!C:C, "Not Found"))</f>
        <v/>
      </c>
    </row>
    <row r="132" spans="2:3">
      <c r="B132" t="str">
        <f>IF(A132="","", _xlfn.XLOOKUP(A132, Master_List!A:A, Master_List!B:B, "Invalid ID"))</f>
        <v/>
      </c>
      <c r="C132" t="str">
        <f>IF(B132="","",_xlfn.XLOOKUP(B132, Master_List!B:B, Master_List!C:C, "Not Found"))</f>
        <v/>
      </c>
    </row>
    <row r="133" spans="2:3">
      <c r="B133" t="str">
        <f>IF(A133="","", _xlfn.XLOOKUP(A133, Master_List!A:A, Master_List!B:B, "Invalid ID"))</f>
        <v/>
      </c>
      <c r="C133" t="str">
        <f>IF(B133="","",_xlfn.XLOOKUP(B133, Master_List!B:B, Master_List!C:C, "Not Found"))</f>
        <v/>
      </c>
    </row>
    <row r="134" spans="2:3">
      <c r="B134" t="str">
        <f>IF(A134="","", _xlfn.XLOOKUP(A134, Master_List!A:A, Master_List!B:B, "Invalid ID"))</f>
        <v/>
      </c>
      <c r="C134" t="str">
        <f>IF(B134="","",_xlfn.XLOOKUP(B134, Master_List!B:B, Master_List!C:C, "Not Found"))</f>
        <v/>
      </c>
    </row>
    <row r="135" spans="2:3">
      <c r="B135" t="str">
        <f>IF(A135="","", _xlfn.XLOOKUP(A135, Master_List!A:A, Master_List!B:B, "Invalid ID"))</f>
        <v/>
      </c>
      <c r="C135" t="str">
        <f>IF(B135="","",_xlfn.XLOOKUP(B135, Master_List!B:B, Master_List!C:C, "Not Found"))</f>
        <v/>
      </c>
    </row>
    <row r="136" spans="2:3">
      <c r="B136" t="str">
        <f>IF(A136="","", _xlfn.XLOOKUP(A136, Master_List!A:A, Master_List!B:B, "Invalid ID"))</f>
        <v/>
      </c>
      <c r="C136" t="str">
        <f>IF(B136="","",_xlfn.XLOOKUP(B136, Master_List!B:B, Master_List!C:C, "Not Found"))</f>
        <v/>
      </c>
    </row>
    <row r="137" spans="2:3">
      <c r="B137" t="str">
        <f>IF(A137="","", _xlfn.XLOOKUP(A137, Master_List!A:A, Master_List!B:B, "Invalid ID"))</f>
        <v/>
      </c>
      <c r="C137" t="str">
        <f>IF(B137="","",_xlfn.XLOOKUP(B137, Master_List!B:B, Master_List!C:C, "Not Found"))</f>
        <v/>
      </c>
    </row>
    <row r="138" spans="2:3">
      <c r="B138" t="str">
        <f>IF(A138="","", _xlfn.XLOOKUP(A138, Master_List!A:A, Master_List!B:B, "Invalid ID"))</f>
        <v/>
      </c>
      <c r="C138" t="str">
        <f>IF(B138="","",_xlfn.XLOOKUP(B138, Master_List!B:B, Master_List!C:C, "Not Found"))</f>
        <v/>
      </c>
    </row>
    <row r="139" spans="2:3">
      <c r="B139" t="str">
        <f>IF(A139="","", _xlfn.XLOOKUP(A139, Master_List!A:A, Master_List!B:B, "Invalid ID"))</f>
        <v/>
      </c>
      <c r="C139" t="str">
        <f>IF(B139="","",_xlfn.XLOOKUP(B139, Master_List!B:B, Master_List!C:C, "Not Found"))</f>
        <v/>
      </c>
    </row>
    <row r="140" spans="2:3">
      <c r="B140" t="str">
        <f>IF(A140="","", _xlfn.XLOOKUP(A140, Master_List!A:A, Master_List!B:B, "Invalid ID"))</f>
        <v/>
      </c>
      <c r="C140" t="str">
        <f>IF(B140="","",_xlfn.XLOOKUP(B140, Master_List!B:B, Master_List!C:C, "Not Found"))</f>
        <v/>
      </c>
    </row>
    <row r="141" spans="2:3">
      <c r="B141" t="str">
        <f>IF(A141="","", _xlfn.XLOOKUP(A141, Master_List!A:A, Master_List!B:B, "Invalid ID"))</f>
        <v/>
      </c>
      <c r="C141" t="str">
        <f>IF(B141="","",_xlfn.XLOOKUP(B141, Master_List!B:B, Master_List!C:C, "Not Found"))</f>
        <v/>
      </c>
    </row>
    <row r="142" spans="2:3">
      <c r="B142" t="str">
        <f>IF(A142="","", _xlfn.XLOOKUP(A142, Master_List!A:A, Master_List!B:B, "Invalid ID"))</f>
        <v/>
      </c>
      <c r="C142" t="str">
        <f>IF(B142="","",_xlfn.XLOOKUP(B142, Master_List!B:B, Master_List!C:C, "Not Found"))</f>
        <v/>
      </c>
    </row>
    <row r="143" spans="2:3">
      <c r="B143" t="str">
        <f>IF(A143="","", _xlfn.XLOOKUP(A143, Master_List!A:A, Master_List!B:B, "Invalid ID"))</f>
        <v/>
      </c>
      <c r="C143" t="str">
        <f>IF(B143="","",_xlfn.XLOOKUP(B143, Master_List!B:B, Master_List!C:C, "Not Found"))</f>
        <v/>
      </c>
    </row>
    <row r="144" spans="2:3">
      <c r="B144" t="str">
        <f>IF(A144="","", _xlfn.XLOOKUP(A144, Master_List!A:A, Master_List!B:B, "Invalid ID"))</f>
        <v/>
      </c>
      <c r="C144" t="str">
        <f>IF(B144="","",_xlfn.XLOOKUP(B144, Master_List!B:B, Master_List!C:C, "Not Found"))</f>
        <v/>
      </c>
    </row>
    <row r="145" spans="2:3">
      <c r="B145" t="str">
        <f>IF(A145="","", _xlfn.XLOOKUP(A145, Master_List!A:A, Master_List!B:B, "Invalid ID"))</f>
        <v/>
      </c>
      <c r="C145" t="str">
        <f>IF(B145="","",_xlfn.XLOOKUP(B145, Master_List!B:B, Master_List!C:C, "Not Found"))</f>
        <v/>
      </c>
    </row>
    <row r="146" spans="2:3">
      <c r="B146" t="str">
        <f>IF(A146="","", _xlfn.XLOOKUP(A146, Master_List!A:A, Master_List!B:B, "Invalid ID"))</f>
        <v/>
      </c>
      <c r="C146" t="str">
        <f>IF(B146="","",_xlfn.XLOOKUP(B146, Master_List!B:B, Master_List!C:C, "Not Found"))</f>
        <v/>
      </c>
    </row>
    <row r="147" spans="2:3">
      <c r="B147" t="str">
        <f>IF(A147="","", _xlfn.XLOOKUP(A147, Master_List!A:A, Master_List!B:B, "Invalid ID"))</f>
        <v/>
      </c>
      <c r="C147" t="str">
        <f>IF(B147="","",_xlfn.XLOOKUP(B147, Master_List!B:B, Master_List!C:C, "Not Found"))</f>
        <v/>
      </c>
    </row>
    <row r="148" spans="2:3">
      <c r="B148" t="str">
        <f>IF(A148="","", _xlfn.XLOOKUP(A148, Master_List!A:A, Master_List!B:B, "Invalid ID"))</f>
        <v/>
      </c>
      <c r="C148" t="str">
        <f>IF(B148="","",_xlfn.XLOOKUP(B148, Master_List!B:B, Master_List!C:C, "Not Found"))</f>
        <v/>
      </c>
    </row>
    <row r="149" spans="2:3">
      <c r="B149" t="str">
        <f>IF(A149="","", _xlfn.XLOOKUP(A149, Master_List!A:A, Master_List!B:B, "Invalid ID"))</f>
        <v/>
      </c>
      <c r="C149" t="str">
        <f>IF(B149="","",_xlfn.XLOOKUP(B149, Master_List!B:B, Master_List!C:C, "Not Found"))</f>
        <v/>
      </c>
    </row>
    <row r="150" spans="2:3">
      <c r="B150" t="str">
        <f>IF(A150="","", _xlfn.XLOOKUP(A150, Master_List!A:A, Master_List!B:B, "Invalid ID"))</f>
        <v/>
      </c>
      <c r="C150" t="str">
        <f>IF(B150="","",_xlfn.XLOOKUP(B150, Master_List!B:B, Master_List!C:C, "Not Found"))</f>
        <v/>
      </c>
    </row>
    <row r="151" spans="2:3">
      <c r="B151" t="str">
        <f>IF(A151="","", _xlfn.XLOOKUP(A151, Master_List!A:A, Master_List!B:B, "Invalid ID"))</f>
        <v/>
      </c>
      <c r="C151" t="str">
        <f>IF(B151="","",_xlfn.XLOOKUP(B151, Master_List!B:B, Master_List!C:C, "Not Found"))</f>
        <v/>
      </c>
    </row>
    <row r="152" spans="2:3">
      <c r="B152" t="str">
        <f>IF(A152="","", _xlfn.XLOOKUP(A152, Master_List!A:A, Master_List!B:B, "Invalid ID"))</f>
        <v/>
      </c>
      <c r="C152" t="str">
        <f>IF(B152="","",_xlfn.XLOOKUP(B152, Master_List!B:B, Master_List!C:C, "Not Found"))</f>
        <v/>
      </c>
    </row>
    <row r="153" spans="2:3">
      <c r="B153" t="str">
        <f>IF(A153="","", _xlfn.XLOOKUP(A153, Master_List!A:A, Master_List!B:B, "Invalid ID"))</f>
        <v/>
      </c>
      <c r="C153" t="str">
        <f>IF(B153="","",_xlfn.XLOOKUP(B153, Master_List!B:B, Master_List!C:C, "Not Found"))</f>
        <v/>
      </c>
    </row>
    <row r="154" spans="2:3">
      <c r="B154" t="str">
        <f>IF(A154="","", _xlfn.XLOOKUP(A154, Master_List!A:A, Master_List!B:B, "Invalid ID"))</f>
        <v/>
      </c>
      <c r="C154" t="str">
        <f>IF(B154="","",_xlfn.XLOOKUP(B154, Master_List!B:B, Master_List!C:C, "Not Found"))</f>
        <v/>
      </c>
    </row>
    <row r="155" spans="2:3">
      <c r="B155" t="str">
        <f>IF(A155="","", _xlfn.XLOOKUP(A155, Master_List!A:A, Master_List!B:B, "Invalid ID"))</f>
        <v/>
      </c>
      <c r="C155" t="str">
        <f>IF(B155="","",_xlfn.XLOOKUP(B155, Master_List!B:B, Master_List!C:C, "Not Found"))</f>
        <v/>
      </c>
    </row>
    <row r="156" spans="2:3">
      <c r="B156" t="str">
        <f>IF(A156="","", _xlfn.XLOOKUP(A156, Master_List!A:A, Master_List!B:B, "Invalid ID"))</f>
        <v/>
      </c>
      <c r="C156" t="str">
        <f>IF(B156="","",_xlfn.XLOOKUP(B156, Master_List!B:B, Master_List!C:C, "Not Found"))</f>
        <v/>
      </c>
    </row>
    <row r="157" spans="2:3">
      <c r="B157" t="str">
        <f>IF(A157="","", _xlfn.XLOOKUP(A157, Master_List!A:A, Master_List!B:B, "Invalid ID"))</f>
        <v/>
      </c>
      <c r="C157" t="str">
        <f>IF(B157="","",_xlfn.XLOOKUP(B157, Master_List!B:B, Master_List!C:C, "Not Found"))</f>
        <v/>
      </c>
    </row>
    <row r="158" spans="2:3">
      <c r="B158" t="str">
        <f>IF(A158="","", _xlfn.XLOOKUP(A158, Master_List!A:A, Master_List!B:B, "Invalid ID"))</f>
        <v/>
      </c>
      <c r="C158" t="str">
        <f>IF(B158="","",_xlfn.XLOOKUP(B158, Master_List!B:B, Master_List!C:C, "Not Found"))</f>
        <v/>
      </c>
    </row>
    <row r="159" spans="2:3">
      <c r="B159" t="str">
        <f>IF(A159="","", _xlfn.XLOOKUP(A159, Master_List!A:A, Master_List!B:B, "Invalid ID"))</f>
        <v/>
      </c>
      <c r="C159" t="str">
        <f>IF(B159="","",_xlfn.XLOOKUP(B159, Master_List!B:B, Master_List!C:C, "Not Found"))</f>
        <v/>
      </c>
    </row>
    <row r="160" spans="2:3">
      <c r="B160" t="str">
        <f>IF(A160="","", _xlfn.XLOOKUP(A160, Master_List!A:A, Master_List!B:B, "Invalid ID"))</f>
        <v/>
      </c>
      <c r="C160" t="str">
        <f>IF(B160="","",_xlfn.XLOOKUP(B160, Master_List!B:B, Master_List!C:C, "Not Found"))</f>
        <v/>
      </c>
    </row>
    <row r="161" spans="2:3">
      <c r="B161" t="str">
        <f>IF(A161="","", _xlfn.XLOOKUP(A161, Master_List!A:A, Master_List!B:B, "Invalid ID"))</f>
        <v/>
      </c>
      <c r="C161" t="str">
        <f>IF(B161="","",_xlfn.XLOOKUP(B161, Master_List!B:B, Master_List!C:C, "Not Found"))</f>
        <v/>
      </c>
    </row>
    <row r="162" spans="2:3">
      <c r="B162" t="str">
        <f>IF(A162="","", _xlfn.XLOOKUP(A162, Master_List!A:A, Master_List!B:B, "Invalid ID"))</f>
        <v/>
      </c>
      <c r="C162" t="str">
        <f>IF(B162="","",_xlfn.XLOOKUP(B162, Master_List!B:B, Master_List!C:C, "Not Found"))</f>
        <v/>
      </c>
    </row>
    <row r="163" spans="2:3">
      <c r="B163" t="str">
        <f>IF(A163="","", _xlfn.XLOOKUP(A163, Master_List!A:A, Master_List!B:B, "Invalid ID"))</f>
        <v/>
      </c>
      <c r="C163" t="str">
        <f>IF(B163="","",_xlfn.XLOOKUP(B163, Master_List!B:B, Master_List!C:C, "Not Found"))</f>
        <v/>
      </c>
    </row>
    <row r="164" spans="2:3">
      <c r="B164" t="str">
        <f>IF(A164="","", _xlfn.XLOOKUP(A164, Master_List!A:A, Master_List!B:B, "Invalid ID"))</f>
        <v/>
      </c>
      <c r="C164" t="str">
        <f>IF(B164="","",_xlfn.XLOOKUP(B164, Master_List!B:B, Master_List!C:C, "Not Found"))</f>
        <v/>
      </c>
    </row>
    <row r="165" spans="2:3">
      <c r="B165" t="str">
        <f>IF(A165="","", _xlfn.XLOOKUP(A165, Master_List!A:A, Master_List!B:B, "Invalid ID"))</f>
        <v/>
      </c>
      <c r="C165" t="str">
        <f>IF(B165="","",_xlfn.XLOOKUP(B165, Master_List!B:B, Master_List!C:C, "Not Found"))</f>
        <v/>
      </c>
    </row>
    <row r="166" spans="2:3">
      <c r="B166" t="str">
        <f>IF(A166="","", _xlfn.XLOOKUP(A166, Master_List!A:A, Master_List!B:B, "Invalid ID"))</f>
        <v/>
      </c>
      <c r="C166" t="str">
        <f>IF(B166="","",_xlfn.XLOOKUP(B166, Master_List!B:B, Master_List!C:C, "Not Found"))</f>
        <v/>
      </c>
    </row>
    <row r="167" spans="2:3">
      <c r="B167" t="str">
        <f>IF(A167="","", _xlfn.XLOOKUP(A167, Master_List!A:A, Master_List!B:B, "Invalid ID"))</f>
        <v/>
      </c>
      <c r="C167" t="str">
        <f>IF(B167="","",_xlfn.XLOOKUP(B167, Master_List!B:B, Master_List!C:C, "Not Found"))</f>
        <v/>
      </c>
    </row>
    <row r="168" spans="2:3">
      <c r="B168" t="str">
        <f>IF(A168="","", _xlfn.XLOOKUP(A168, Master_List!A:A, Master_List!B:B, "Invalid ID"))</f>
        <v/>
      </c>
      <c r="C168" t="str">
        <f>IF(B168="","",_xlfn.XLOOKUP(B168, Master_List!B:B, Master_List!C:C, "Not Found"))</f>
        <v/>
      </c>
    </row>
    <row r="169" spans="2:3">
      <c r="B169" t="str">
        <f>IF(A169="","", _xlfn.XLOOKUP(A169, Master_List!A:A, Master_List!B:B, "Invalid ID"))</f>
        <v/>
      </c>
      <c r="C169" t="str">
        <f>IF(B169="","",_xlfn.XLOOKUP(B169, Master_List!B:B, Master_List!C:C, "Not Found"))</f>
        <v/>
      </c>
    </row>
    <row r="170" spans="2:3">
      <c r="B170" t="str">
        <f>IF(A170="","", _xlfn.XLOOKUP(A170, Master_List!A:A, Master_List!B:B, "Invalid ID"))</f>
        <v/>
      </c>
      <c r="C170" t="str">
        <f>IF(B170="","",_xlfn.XLOOKUP(B170, Master_List!B:B, Master_List!C:C, "Not Found"))</f>
        <v/>
      </c>
    </row>
    <row r="171" spans="2:3">
      <c r="B171" t="str">
        <f>IF(A171="","", _xlfn.XLOOKUP(A171, Master_List!A:A, Master_List!B:B, "Invalid ID"))</f>
        <v/>
      </c>
      <c r="C171" t="str">
        <f>IF(B171="","",_xlfn.XLOOKUP(B171, Master_List!B:B, Master_List!C:C, "Not Found"))</f>
        <v/>
      </c>
    </row>
    <row r="172" spans="2:3">
      <c r="B172" t="str">
        <f>IF(A172="","", _xlfn.XLOOKUP(A172, Master_List!A:A, Master_List!B:B, "Invalid ID"))</f>
        <v/>
      </c>
      <c r="C172" t="str">
        <f>IF(B172="","",_xlfn.XLOOKUP(B172, Master_List!B:B, Master_List!C:C, "Not Found"))</f>
        <v/>
      </c>
    </row>
    <row r="173" spans="2:3">
      <c r="B173" t="str">
        <f>IF(A173="","", _xlfn.XLOOKUP(A173, Master_List!A:A, Master_List!B:B, "Invalid ID"))</f>
        <v/>
      </c>
      <c r="C173" t="str">
        <f>IF(B173="","",_xlfn.XLOOKUP(B173, Master_List!B:B, Master_List!C:C, "Not Found"))</f>
        <v/>
      </c>
    </row>
    <row r="174" spans="2:3">
      <c r="B174" t="str">
        <f>IF(A174="","", _xlfn.XLOOKUP(A174, Master_List!A:A, Master_List!B:B, "Invalid ID"))</f>
        <v/>
      </c>
      <c r="C174" t="str">
        <f>IF(B174="","",_xlfn.XLOOKUP(B174, Master_List!B:B, Master_List!C:C, "Not Found"))</f>
        <v/>
      </c>
    </row>
    <row r="175" spans="2:3">
      <c r="B175" t="str">
        <f>IF(A175="","", _xlfn.XLOOKUP(A175, Master_List!A:A, Master_List!B:B, "Invalid ID"))</f>
        <v/>
      </c>
      <c r="C175" t="str">
        <f>IF(B175="","",_xlfn.XLOOKUP(B175, Master_List!B:B, Master_List!C:C, "Not Found"))</f>
        <v/>
      </c>
    </row>
    <row r="176" spans="2:3">
      <c r="B176" t="str">
        <f>IF(A176="","", _xlfn.XLOOKUP(A176, Master_List!A:A, Master_List!B:B, "Invalid ID"))</f>
        <v/>
      </c>
      <c r="C176" t="str">
        <f>IF(B176="","",_xlfn.XLOOKUP(B176, Master_List!B:B, Master_List!C:C, "Not Found"))</f>
        <v/>
      </c>
    </row>
    <row r="177" spans="2:3">
      <c r="B177" t="str">
        <f>IF(A177="","", _xlfn.XLOOKUP(A177, Master_List!A:A, Master_List!B:B, "Invalid ID"))</f>
        <v/>
      </c>
      <c r="C177" t="str">
        <f>IF(B177="","",_xlfn.XLOOKUP(B177, Master_List!B:B, Master_List!C:C, "Not Found"))</f>
        <v/>
      </c>
    </row>
    <row r="178" spans="2:3">
      <c r="B178" t="str">
        <f>IF(A178="","", _xlfn.XLOOKUP(A178, Master_List!A:A, Master_List!B:B, "Invalid ID"))</f>
        <v/>
      </c>
      <c r="C178" t="str">
        <f>IF(B178="","",_xlfn.XLOOKUP(B178, Master_List!B:B, Master_List!C:C, "Not Found"))</f>
        <v/>
      </c>
    </row>
    <row r="179" spans="2:3">
      <c r="B179" t="str">
        <f>IF(A179="","", _xlfn.XLOOKUP(A179, Master_List!A:A, Master_List!B:B, "Invalid ID"))</f>
        <v/>
      </c>
      <c r="C179" t="str">
        <f>IF(B179="","",_xlfn.XLOOKUP(B179, Master_List!B:B, Master_List!C:C, "Not Found"))</f>
        <v/>
      </c>
    </row>
    <row r="180" spans="2:3">
      <c r="B180" t="str">
        <f>IF(A180="","", _xlfn.XLOOKUP(A180, Master_List!A:A, Master_List!B:B, "Invalid ID"))</f>
        <v/>
      </c>
      <c r="C180" t="str">
        <f>IF(B180="","",_xlfn.XLOOKUP(B180, Master_List!B:B, Master_List!C:C, "Not Found"))</f>
        <v/>
      </c>
    </row>
    <row r="181" spans="2:3">
      <c r="B181" t="str">
        <f>IF(A181="","", _xlfn.XLOOKUP(A181, Master_List!A:A, Master_List!B:B, "Invalid ID"))</f>
        <v/>
      </c>
      <c r="C181" t="str">
        <f>IF(B181="","",_xlfn.XLOOKUP(B181, Master_List!B:B, Master_List!C:C, "Not Found"))</f>
        <v/>
      </c>
    </row>
    <row r="182" spans="2:3">
      <c r="B182" t="str">
        <f>IF(A182="","", _xlfn.XLOOKUP(A182, Master_List!A:A, Master_List!B:B, "Invalid ID"))</f>
        <v/>
      </c>
      <c r="C182" t="str">
        <f>IF(B182="","",_xlfn.XLOOKUP(B182, Master_List!B:B, Master_List!C:C, "Not Found"))</f>
        <v/>
      </c>
    </row>
    <row r="183" spans="2:3">
      <c r="B183" t="str">
        <f>IF(A183="","", _xlfn.XLOOKUP(A183, Master_List!A:A, Master_List!B:B, "Invalid ID"))</f>
        <v/>
      </c>
      <c r="C183" t="str">
        <f>IF(B183="","",_xlfn.XLOOKUP(B183, Master_List!B:B, Master_List!C:C, "Not Found"))</f>
        <v/>
      </c>
    </row>
    <row r="184" spans="2:3">
      <c r="B184" t="str">
        <f>IF(A184="","", _xlfn.XLOOKUP(A184, Master_List!A:A, Master_List!B:B, "Invalid ID"))</f>
        <v/>
      </c>
      <c r="C184" t="str">
        <f>IF(B184="","",_xlfn.XLOOKUP(B184, Master_List!B:B, Master_List!C:C, "Not Found"))</f>
        <v/>
      </c>
    </row>
    <row r="185" spans="2:3">
      <c r="B185" t="str">
        <f>IF(A185="","", _xlfn.XLOOKUP(A185, Master_List!A:A, Master_List!B:B, "Invalid ID"))</f>
        <v/>
      </c>
      <c r="C185" t="str">
        <f>IF(B185="","",_xlfn.XLOOKUP(B185, Master_List!B:B, Master_List!C:C, "Not Found"))</f>
        <v/>
      </c>
    </row>
    <row r="186" spans="2:3">
      <c r="B186" t="str">
        <f>IF(A186="","", _xlfn.XLOOKUP(A186, Master_List!A:A, Master_List!B:B, "Invalid ID"))</f>
        <v/>
      </c>
      <c r="C186" t="str">
        <f>IF(B186="","",_xlfn.XLOOKUP(B186, Master_List!B:B, Master_List!C:C, "Not Found"))</f>
        <v/>
      </c>
    </row>
    <row r="187" spans="2:3">
      <c r="B187" t="str">
        <f>IF(A187="","", _xlfn.XLOOKUP(A187, Master_List!A:A, Master_List!B:B, "Invalid ID"))</f>
        <v/>
      </c>
      <c r="C187" t="str">
        <f>IF(B187="","",_xlfn.XLOOKUP(B187, Master_List!B:B, Master_List!C:C, "Not Found"))</f>
        <v/>
      </c>
    </row>
    <row r="188" spans="2:3">
      <c r="B188" t="str">
        <f>IF(A188="","", _xlfn.XLOOKUP(A188, Master_List!A:A, Master_List!B:B, "Invalid ID"))</f>
        <v/>
      </c>
      <c r="C188" t="str">
        <f>IF(B188="","",_xlfn.XLOOKUP(B188, Master_List!B:B, Master_List!C:C, "Not Found"))</f>
        <v/>
      </c>
    </row>
    <row r="189" spans="2:3">
      <c r="B189" t="str">
        <f>IF(A189="","", _xlfn.XLOOKUP(A189, Master_List!A:A, Master_List!B:B, "Invalid ID"))</f>
        <v/>
      </c>
      <c r="C189" t="str">
        <f>IF(B189="","",_xlfn.XLOOKUP(B189, Master_List!B:B, Master_List!C:C, "Not Found"))</f>
        <v/>
      </c>
    </row>
    <row r="190" spans="2:3">
      <c r="B190" t="str">
        <f>IF(A190="","", _xlfn.XLOOKUP(A190, Master_List!A:A, Master_List!B:B, "Invalid ID"))</f>
        <v/>
      </c>
      <c r="C190" t="str">
        <f>IF(B190="","",_xlfn.XLOOKUP(B190, Master_List!B:B, Master_List!C:C, "Not Found"))</f>
        <v/>
      </c>
    </row>
    <row r="191" spans="2:3">
      <c r="B191" t="str">
        <f>IF(A191="","", _xlfn.XLOOKUP(A191, Master_List!A:A, Master_List!B:B, "Invalid ID"))</f>
        <v/>
      </c>
      <c r="C191" t="str">
        <f>IF(B191="","",_xlfn.XLOOKUP(B191, Master_List!B:B, Master_List!C:C, "Not Found"))</f>
        <v/>
      </c>
    </row>
    <row r="192" spans="2:3">
      <c r="B192" t="str">
        <f>IF(A192="","", _xlfn.XLOOKUP(A192, Master_List!A:A, Master_List!B:B, "Invalid ID"))</f>
        <v/>
      </c>
      <c r="C192" t="str">
        <f>IF(B192="","",_xlfn.XLOOKUP(B192, Master_List!B:B, Master_List!C:C, "Not Found"))</f>
        <v/>
      </c>
    </row>
    <row r="193" spans="2:3">
      <c r="B193" t="str">
        <f>IF(A193="","", _xlfn.XLOOKUP(A193, Master_List!A:A, Master_List!B:B, "Invalid ID"))</f>
        <v/>
      </c>
      <c r="C193" t="str">
        <f>IF(B193="","",_xlfn.XLOOKUP(B193, Master_List!B:B, Master_List!C:C, "Not Found"))</f>
        <v/>
      </c>
    </row>
    <row r="194" spans="2:3">
      <c r="B194" t="str">
        <f>IF(A194="","", _xlfn.XLOOKUP(A194, Master_List!A:A, Master_List!B:B, "Invalid ID"))</f>
        <v/>
      </c>
      <c r="C194" t="str">
        <f>IF(B194="","",_xlfn.XLOOKUP(B194, Master_List!B:B, Master_List!C:C, "Not Found"))</f>
        <v/>
      </c>
    </row>
    <row r="195" spans="2:3">
      <c r="B195" t="str">
        <f>IF(A195="","", _xlfn.XLOOKUP(A195, Master_List!A:A, Master_List!B:B, "Invalid ID"))</f>
        <v/>
      </c>
      <c r="C195" t="str">
        <f>IF(B195="","",_xlfn.XLOOKUP(B195, Master_List!B:B, Master_List!C:C, "Not Found"))</f>
        <v/>
      </c>
    </row>
    <row r="196" spans="2:3">
      <c r="B196" t="str">
        <f>IF(A196="","", _xlfn.XLOOKUP(A196, Master_List!A:A, Master_List!B:B, "Invalid ID"))</f>
        <v/>
      </c>
      <c r="C196" t="str">
        <f>IF(B196="","",_xlfn.XLOOKUP(B196, Master_List!B:B, Master_List!C:C, "Not Found"))</f>
        <v/>
      </c>
    </row>
    <row r="197" spans="2:3">
      <c r="B197" t="str">
        <f>IF(A197="","", _xlfn.XLOOKUP(A197, Master_List!A:A, Master_List!B:B, "Invalid ID"))</f>
        <v/>
      </c>
      <c r="C197" t="str">
        <f>IF(B197="","",_xlfn.XLOOKUP(B197, Master_List!B:B, Master_List!C:C, "Not Found"))</f>
        <v/>
      </c>
    </row>
    <row r="198" spans="2:3">
      <c r="B198" t="str">
        <f>IF(A198="","", _xlfn.XLOOKUP(A198, Master_List!A:A, Master_List!B:B, "Invalid ID"))</f>
        <v/>
      </c>
      <c r="C198" t="str">
        <f>IF(B198="","",_xlfn.XLOOKUP(B198, Master_List!B:B, Master_List!C:C, "Not Found"))</f>
        <v/>
      </c>
    </row>
    <row r="199" spans="2:3">
      <c r="B199" t="str">
        <f>IF(A199="","", _xlfn.XLOOKUP(A199, Master_List!A:A, Master_List!B:B, "Invalid ID"))</f>
        <v/>
      </c>
      <c r="C199" t="str">
        <f>IF(B199="","",_xlfn.XLOOKUP(B199, Master_List!B:B, Master_List!C:C, "Not Found"))</f>
        <v/>
      </c>
    </row>
    <row r="200" spans="2:3">
      <c r="B200" t="str">
        <f>IF(A200="","", _xlfn.XLOOKUP(A200, Master_List!A:A, Master_List!B:B, "Invalid ID"))</f>
        <v/>
      </c>
      <c r="C200" t="str">
        <f>IF(B200="","",_xlfn.XLOOKUP(B200, Master_List!B:B, Master_List!C:C, "Not Found"))</f>
        <v/>
      </c>
    </row>
    <row r="201" spans="2:3">
      <c r="B201" t="str">
        <f>IF(A201="","", _xlfn.XLOOKUP(A201, Master_List!A:A, Master_List!B:B, "Invalid ID"))</f>
        <v/>
      </c>
      <c r="C201" t="str">
        <f>IF(B201="","",_xlfn.XLOOKUP(B201, Master_List!B:B, Master_List!C:C, "Not Found"))</f>
        <v/>
      </c>
    </row>
    <row r="202" spans="2:3">
      <c r="B202" t="str">
        <f>IF(A202="","", _xlfn.XLOOKUP(A202, Master_List!A:A, Master_List!B:B, "Invalid ID"))</f>
        <v/>
      </c>
      <c r="C202" t="str">
        <f>IF(B202="","",_xlfn.XLOOKUP(B202, Master_List!B:B, Master_List!C:C, "Not Found"))</f>
        <v/>
      </c>
    </row>
    <row r="203" spans="2:3">
      <c r="B203" t="str">
        <f>IF(A203="","", _xlfn.XLOOKUP(A203, Master_List!A:A, Master_List!B:B, "Invalid ID"))</f>
        <v/>
      </c>
      <c r="C203" t="str">
        <f>IF(B203="","",_xlfn.XLOOKUP(B203, Master_List!B:B, Master_List!C:C, "Not Found"))</f>
        <v/>
      </c>
    </row>
    <row r="204" spans="2:3">
      <c r="B204" t="str">
        <f>IF(A204="","", _xlfn.XLOOKUP(A204, Master_List!A:A, Master_List!B:B, "Invalid ID"))</f>
        <v/>
      </c>
      <c r="C204" t="str">
        <f>IF(B204="","",_xlfn.XLOOKUP(B204, Master_List!B:B, Master_List!C:C, "Not Found"))</f>
        <v/>
      </c>
    </row>
    <row r="205" spans="2:3">
      <c r="B205" t="str">
        <f>IF(A205="","", _xlfn.XLOOKUP(A205, Master_List!A:A, Master_List!B:B, "Invalid ID"))</f>
        <v/>
      </c>
      <c r="C205" t="str">
        <f>IF(B205="","",_xlfn.XLOOKUP(B205, Master_List!B:B, Master_List!C:C, "Not Found"))</f>
        <v/>
      </c>
    </row>
    <row r="206" spans="2:3">
      <c r="B206" t="str">
        <f>IF(A206="","", _xlfn.XLOOKUP(A206, Master_List!A:A, Master_List!B:B, "Invalid ID"))</f>
        <v/>
      </c>
      <c r="C206" t="str">
        <f>IF(B206="","",_xlfn.XLOOKUP(B206, Master_List!B:B, Master_List!C:C, "Not Found"))</f>
        <v/>
      </c>
    </row>
    <row r="207" spans="2:3">
      <c r="B207" t="str">
        <f>IF(A207="","", _xlfn.XLOOKUP(A207, Master_List!A:A, Master_List!B:B, "Invalid ID"))</f>
        <v/>
      </c>
      <c r="C207" t="str">
        <f>IF(B207="","",_xlfn.XLOOKUP(B207, Master_List!B:B, Master_List!C:C, "Not Found"))</f>
        <v/>
      </c>
    </row>
    <row r="208" spans="2:3">
      <c r="B208" t="str">
        <f>IF(A208="","", _xlfn.XLOOKUP(A208, Master_List!A:A, Master_List!B:B, "Invalid ID"))</f>
        <v/>
      </c>
      <c r="C208" t="str">
        <f>IF(B208="","",_xlfn.XLOOKUP(B208, Master_List!B:B, Master_List!C:C, "Not Found"))</f>
        <v/>
      </c>
    </row>
    <row r="209" spans="2:3">
      <c r="B209" t="str">
        <f>IF(A209="","", _xlfn.XLOOKUP(A209, Master_List!A:A, Master_List!B:B, "Invalid ID"))</f>
        <v/>
      </c>
      <c r="C209" t="str">
        <f>IF(B209="","",_xlfn.XLOOKUP(B209, Master_List!B:B, Master_List!C:C, "Not Found"))</f>
        <v/>
      </c>
    </row>
    <row r="210" spans="2:3">
      <c r="B210" t="str">
        <f>IF(A210="","", _xlfn.XLOOKUP(A210, Master_List!A:A, Master_List!B:B, "Invalid ID"))</f>
        <v/>
      </c>
      <c r="C210" t="str">
        <f>IF(B210="","",_xlfn.XLOOKUP(B210, Master_List!B:B, Master_List!C:C, "Not Found"))</f>
        <v/>
      </c>
    </row>
    <row r="211" spans="2:3">
      <c r="B211" t="str">
        <f>IF(A211="","", _xlfn.XLOOKUP(A211, Master_List!A:A, Master_List!B:B, "Invalid ID"))</f>
        <v/>
      </c>
      <c r="C211" t="str">
        <f>IF(B211="","",_xlfn.XLOOKUP(B211, Master_List!B:B, Master_List!C:C, "Not Found"))</f>
        <v/>
      </c>
    </row>
    <row r="212" spans="2:3">
      <c r="B212" t="str">
        <f>IF(A212="","", _xlfn.XLOOKUP(A212, Master_List!A:A, Master_List!B:B, "Invalid ID"))</f>
        <v/>
      </c>
      <c r="C212" t="str">
        <f>IF(B212="","",_xlfn.XLOOKUP(B212, Master_List!B:B, Master_List!C:C, "Not Found"))</f>
        <v/>
      </c>
    </row>
    <row r="213" spans="2:3">
      <c r="B213" t="str">
        <f>IF(A213="","", _xlfn.XLOOKUP(A213, Master_List!A:A, Master_List!B:B, "Invalid ID"))</f>
        <v/>
      </c>
      <c r="C213" t="str">
        <f>IF(B213="","",_xlfn.XLOOKUP(B213, Master_List!B:B, Master_List!C:C, "Not Found"))</f>
        <v/>
      </c>
    </row>
    <row r="214" spans="2:3">
      <c r="B214" t="str">
        <f>IF(A214="","", _xlfn.XLOOKUP(A214, Master_List!A:A, Master_List!B:B, "Invalid ID"))</f>
        <v/>
      </c>
      <c r="C214" t="str">
        <f>IF(B214="","",_xlfn.XLOOKUP(B214, Master_List!B:B, Master_List!C:C, "Not Found"))</f>
        <v/>
      </c>
    </row>
    <row r="215" spans="2:3">
      <c r="B215" t="str">
        <f>IF(A215="","", _xlfn.XLOOKUP(A215, Master_List!A:A, Master_List!B:B, "Invalid ID"))</f>
        <v/>
      </c>
      <c r="C215" t="str">
        <f>IF(B215="","",_xlfn.XLOOKUP(B215, Master_List!B:B, Master_List!C:C, "Not Found"))</f>
        <v/>
      </c>
    </row>
    <row r="216" spans="2:3">
      <c r="B216" t="str">
        <f>IF(A216="","", _xlfn.XLOOKUP(A216, Master_List!A:A, Master_List!B:B, "Invalid ID"))</f>
        <v/>
      </c>
      <c r="C216" t="str">
        <f>IF(B216="","",_xlfn.XLOOKUP(B216, Master_List!B:B, Master_List!C:C, "Not Found"))</f>
        <v/>
      </c>
    </row>
    <row r="217" spans="2:3">
      <c r="B217" t="str">
        <f>IF(A217="","", _xlfn.XLOOKUP(A217, Master_List!A:A, Master_List!B:B, "Invalid ID"))</f>
        <v/>
      </c>
      <c r="C217" t="str">
        <f>IF(B217="","",_xlfn.XLOOKUP(B217, Master_List!B:B, Master_List!C:C, "Not Found"))</f>
        <v/>
      </c>
    </row>
    <row r="218" spans="2:3">
      <c r="B218" t="str">
        <f>IF(A218="","", _xlfn.XLOOKUP(A218, Master_List!A:A, Master_List!B:B, "Invalid ID"))</f>
        <v/>
      </c>
      <c r="C218" t="str">
        <f>IF(B218="","",_xlfn.XLOOKUP(B218, Master_List!B:B, Master_List!C:C, "Not Found"))</f>
        <v/>
      </c>
    </row>
    <row r="219" spans="2:3">
      <c r="B219" t="str">
        <f>IF(A219="","", _xlfn.XLOOKUP(A219, Master_List!A:A, Master_List!B:B, "Invalid ID"))</f>
        <v/>
      </c>
      <c r="C219" t="str">
        <f>IF(B219="","",_xlfn.XLOOKUP(B219, Master_List!B:B, Master_List!C:C, "Not Found"))</f>
        <v/>
      </c>
    </row>
    <row r="220" spans="2:3">
      <c r="B220" t="str">
        <f>IF(A220="","", _xlfn.XLOOKUP(A220, Master_List!A:A, Master_List!B:B, "Invalid ID"))</f>
        <v/>
      </c>
      <c r="C220" t="str">
        <f>IF(B220="","",_xlfn.XLOOKUP(B220, Master_List!B:B, Master_List!C:C, "Not Found"))</f>
        <v/>
      </c>
    </row>
    <row r="221" spans="2:3">
      <c r="B221" t="str">
        <f>IF(A221="","", _xlfn.XLOOKUP(A221, Master_List!A:A, Master_List!B:B, "Invalid ID"))</f>
        <v/>
      </c>
      <c r="C221" t="str">
        <f>IF(B221="","",_xlfn.XLOOKUP(B221, Master_List!B:B, Master_List!C:C, "Not Found"))</f>
        <v/>
      </c>
    </row>
    <row r="222" spans="2:3">
      <c r="B222" t="str">
        <f>IF(A222="","", _xlfn.XLOOKUP(A222, Master_List!A:A, Master_List!B:B, "Invalid ID"))</f>
        <v/>
      </c>
      <c r="C222" t="str">
        <f>IF(B222="","",_xlfn.XLOOKUP(B222, Master_List!B:B, Master_List!C:C, "Not Found"))</f>
        <v/>
      </c>
    </row>
    <row r="223" spans="2:3">
      <c r="B223" t="str">
        <f>IF(A223="","", _xlfn.XLOOKUP(A223, Master_List!A:A, Master_List!B:B, "Invalid ID"))</f>
        <v/>
      </c>
      <c r="C223" t="str">
        <f>IF(B223="","",_xlfn.XLOOKUP(B223, Master_List!B:B, Master_List!C:C, "Not Found"))</f>
        <v/>
      </c>
    </row>
    <row r="224" spans="2:3">
      <c r="B224" t="str">
        <f>IF(A224="","", _xlfn.XLOOKUP(A224, Master_List!A:A, Master_List!B:B, "Invalid ID"))</f>
        <v/>
      </c>
      <c r="C224" t="str">
        <f>IF(B224="","",_xlfn.XLOOKUP(B224, Master_List!B:B, Master_List!C:C, "Not Found"))</f>
        <v/>
      </c>
    </row>
    <row r="225" spans="2:3">
      <c r="B225" t="str">
        <f>IF(A225="","", _xlfn.XLOOKUP(A225, Master_List!A:A, Master_List!B:B, "Invalid ID"))</f>
        <v/>
      </c>
      <c r="C225" t="str">
        <f>IF(B225="","",_xlfn.XLOOKUP(B225, Master_List!B:B, Master_List!C:C, "Not Found"))</f>
        <v/>
      </c>
    </row>
    <row r="226" spans="2:3">
      <c r="B226" t="str">
        <f>IF(A226="","", _xlfn.XLOOKUP(A226, Master_List!A:A, Master_List!B:B, "Invalid ID"))</f>
        <v/>
      </c>
      <c r="C226" t="str">
        <f>IF(B226="","",_xlfn.XLOOKUP(B226, Master_List!B:B, Master_List!C:C, "Not Found"))</f>
        <v/>
      </c>
    </row>
    <row r="227" spans="2:3">
      <c r="B227" t="str">
        <f>IF(A227="","", _xlfn.XLOOKUP(A227, Master_List!A:A, Master_List!B:B, "Invalid ID"))</f>
        <v/>
      </c>
      <c r="C227" t="str">
        <f>IF(B227="","",_xlfn.XLOOKUP(B227, Master_List!B:B, Master_List!C:C, "Not Found"))</f>
        <v/>
      </c>
    </row>
    <row r="228" spans="2:3">
      <c r="B228" t="str">
        <f>IF(A228="","", _xlfn.XLOOKUP(A228, Master_List!A:A, Master_List!B:B, "Invalid ID"))</f>
        <v/>
      </c>
      <c r="C228" t="str">
        <f>IF(B228="","",_xlfn.XLOOKUP(B228, Master_List!B:B, Master_List!C:C, "Not Found"))</f>
        <v/>
      </c>
    </row>
    <row r="229" spans="2:3">
      <c r="B229" t="str">
        <f>IF(A229="","", _xlfn.XLOOKUP(A229, Master_List!A:A, Master_List!B:B, "Invalid ID"))</f>
        <v/>
      </c>
      <c r="C229" t="str">
        <f>IF(B229="","",_xlfn.XLOOKUP(B229, Master_List!B:B, Master_List!C:C, "Not Found"))</f>
        <v/>
      </c>
    </row>
    <row r="230" spans="2:3">
      <c r="B230" t="str">
        <f>IF(A230="","", _xlfn.XLOOKUP(A230, Master_List!A:A, Master_List!B:B, "Invalid ID"))</f>
        <v/>
      </c>
      <c r="C230" t="str">
        <f>IF(B230="","",_xlfn.XLOOKUP(B230, Master_List!B:B, Master_List!C:C, "Not Found"))</f>
        <v/>
      </c>
    </row>
    <row r="231" spans="2:3">
      <c r="B231" t="str">
        <f>IF(A231="","", _xlfn.XLOOKUP(A231, Master_List!A:A, Master_List!B:B, "Invalid ID"))</f>
        <v/>
      </c>
      <c r="C231" t="str">
        <f>IF(B231="","",_xlfn.XLOOKUP(B231, Master_List!B:B, Master_List!C:C, "Not Found"))</f>
        <v/>
      </c>
    </row>
    <row r="232" spans="2:3">
      <c r="B232" t="str">
        <f>IF(A232="","", _xlfn.XLOOKUP(A232, Master_List!A:A, Master_List!B:B, "Invalid ID"))</f>
        <v/>
      </c>
      <c r="C232" t="str">
        <f>IF(B232="","",_xlfn.XLOOKUP(B232, Master_List!B:B, Master_List!C:C, "Not Found"))</f>
        <v/>
      </c>
    </row>
    <row r="233" spans="2:3">
      <c r="B233" t="str">
        <f>IF(A233="","", _xlfn.XLOOKUP(A233, Master_List!A:A, Master_List!B:B, "Invalid ID"))</f>
        <v/>
      </c>
      <c r="C233" t="str">
        <f>IF(B233="","",_xlfn.XLOOKUP(B233, Master_List!B:B, Master_List!C:C, "Not Found"))</f>
        <v/>
      </c>
    </row>
    <row r="234" spans="2:3">
      <c r="B234" t="str">
        <f>IF(A234="","", _xlfn.XLOOKUP(A234, Master_List!A:A, Master_List!B:B, "Invalid ID"))</f>
        <v/>
      </c>
      <c r="C234" t="str">
        <f>IF(B234="","",_xlfn.XLOOKUP(B234, Master_List!B:B, Master_List!C:C, "Not Found"))</f>
        <v/>
      </c>
    </row>
    <row r="235" spans="2:3">
      <c r="B235" t="str">
        <f>IF(A235="","", _xlfn.XLOOKUP(A235, Master_List!A:A, Master_List!B:B, "Invalid ID"))</f>
        <v/>
      </c>
      <c r="C235" t="str">
        <f>IF(B235="","",_xlfn.XLOOKUP(B235, Master_List!B:B, Master_List!C:C, "Not Found"))</f>
        <v/>
      </c>
    </row>
    <row r="236" spans="2:3">
      <c r="B236" t="str">
        <f>IF(A236="","", _xlfn.XLOOKUP(A236, Master_List!A:A, Master_List!B:B, "Invalid ID"))</f>
        <v/>
      </c>
      <c r="C236" t="str">
        <f>IF(B236="","",_xlfn.XLOOKUP(B236, Master_List!B:B, Master_List!C:C, "Not Found"))</f>
        <v/>
      </c>
    </row>
    <row r="237" spans="2:3">
      <c r="B237" t="str">
        <f>IF(A237="","", _xlfn.XLOOKUP(A237, Master_List!A:A, Master_List!B:B, "Invalid ID"))</f>
        <v/>
      </c>
      <c r="C237" t="str">
        <f>IF(B237="","",_xlfn.XLOOKUP(B237, Master_List!B:B, Master_List!C:C, "Not Found"))</f>
        <v/>
      </c>
    </row>
    <row r="238" spans="2:3">
      <c r="B238" t="str">
        <f>IF(A238="","", _xlfn.XLOOKUP(A238, Master_List!A:A, Master_List!B:B, "Invalid ID"))</f>
        <v/>
      </c>
      <c r="C238" t="str">
        <f>IF(B238="","",_xlfn.XLOOKUP(B238, Master_List!B:B, Master_List!C:C, "Not Found"))</f>
        <v/>
      </c>
    </row>
    <row r="239" spans="2:3">
      <c r="B239" t="str">
        <f>IF(A239="","", _xlfn.XLOOKUP(A239, Master_List!A:A, Master_List!B:B, "Invalid ID"))</f>
        <v/>
      </c>
      <c r="C239" t="str">
        <f>IF(B239="","",_xlfn.XLOOKUP(B239, Master_List!B:B, Master_List!C:C, "Not Found"))</f>
        <v/>
      </c>
    </row>
    <row r="240" spans="2:3">
      <c r="B240" t="str">
        <f>IF(A240="","", _xlfn.XLOOKUP(A240, Master_List!A:A, Master_List!B:B, "Invalid ID"))</f>
        <v/>
      </c>
      <c r="C240" t="str">
        <f>IF(B240="","",_xlfn.XLOOKUP(B240, Master_List!B:B, Master_List!C:C, "Not Found"))</f>
        <v/>
      </c>
    </row>
    <row r="241" spans="2:3">
      <c r="B241" t="str">
        <f>IF(A241="","", _xlfn.XLOOKUP(A241, Master_List!A:A, Master_List!B:B, "Invalid ID"))</f>
        <v/>
      </c>
      <c r="C241" t="str">
        <f>IF(B241="","",_xlfn.XLOOKUP(B241, Master_List!B:B, Master_List!C:C, "Not Found"))</f>
        <v/>
      </c>
    </row>
    <row r="242" spans="2:3">
      <c r="B242" t="str">
        <f>IF(A242="","", _xlfn.XLOOKUP(A242, Master_List!A:A, Master_List!B:B, "Invalid ID"))</f>
        <v/>
      </c>
      <c r="C242" t="str">
        <f>IF(B242="","",_xlfn.XLOOKUP(B242, Master_List!B:B, Master_List!C:C, "Not Found"))</f>
        <v/>
      </c>
    </row>
    <row r="243" spans="2:3">
      <c r="B243" t="str">
        <f>IF(A243="","", _xlfn.XLOOKUP(A243, Master_List!A:A, Master_List!B:B, "Invalid ID"))</f>
        <v/>
      </c>
      <c r="C243" t="str">
        <f>IF(B243="","",_xlfn.XLOOKUP(B243, Master_List!B:B, Master_List!C:C, "Not Found"))</f>
        <v/>
      </c>
    </row>
    <row r="244" spans="2:3">
      <c r="B244" t="str">
        <f>IF(A244="","", _xlfn.XLOOKUP(A244, Master_List!A:A, Master_List!B:B, "Invalid ID"))</f>
        <v/>
      </c>
      <c r="C244" t="str">
        <f>IF(B244="","",_xlfn.XLOOKUP(B244, Master_List!B:B, Master_List!C:C, "Not Found"))</f>
        <v/>
      </c>
    </row>
    <row r="245" spans="2:3">
      <c r="B245" t="str">
        <f>IF(A245="","", _xlfn.XLOOKUP(A245, Master_List!A:A, Master_List!B:B, "Invalid ID"))</f>
        <v/>
      </c>
      <c r="C245" t="str">
        <f>IF(B245="","",_xlfn.XLOOKUP(B245, Master_List!B:B, Master_List!C:C, "Not Found"))</f>
        <v/>
      </c>
    </row>
    <row r="246" spans="2:3">
      <c r="B246" t="str">
        <f>IF(A246="","", _xlfn.XLOOKUP(A246, Master_List!A:A, Master_List!B:B, "Invalid ID"))</f>
        <v/>
      </c>
      <c r="C246" t="str">
        <f>IF(B246="","",_xlfn.XLOOKUP(B246, Master_List!B:B, Master_List!C:C, "Not Found"))</f>
        <v/>
      </c>
    </row>
    <row r="247" spans="2:3">
      <c r="B247" t="str">
        <f>IF(A247="","", _xlfn.XLOOKUP(A247, Master_List!A:A, Master_List!B:B, "Invalid ID"))</f>
        <v/>
      </c>
      <c r="C247" t="str">
        <f>IF(B247="","",_xlfn.XLOOKUP(B247, Master_List!B:B, Master_List!C:C, "Not Found"))</f>
        <v/>
      </c>
    </row>
    <row r="248" spans="2:3">
      <c r="B248" t="str">
        <f>IF(A248="","", _xlfn.XLOOKUP(A248, Master_List!A:A, Master_List!B:B, "Invalid ID"))</f>
        <v/>
      </c>
      <c r="C248" t="str">
        <f>IF(B248="","",_xlfn.XLOOKUP(B248, Master_List!B:B, Master_List!C:C, "Not Found"))</f>
        <v/>
      </c>
    </row>
    <row r="249" spans="2:3">
      <c r="B249" t="str">
        <f>IF(A249="","", _xlfn.XLOOKUP(A249, Master_List!A:A, Master_List!B:B, "Invalid ID"))</f>
        <v/>
      </c>
      <c r="C249" t="str">
        <f>IF(B249="","",_xlfn.XLOOKUP(B249, Master_List!B:B, Master_List!C:C, "Not Found"))</f>
        <v/>
      </c>
    </row>
    <row r="250" spans="2:3">
      <c r="B250" t="str">
        <f>IF(A250="","", _xlfn.XLOOKUP(A250, Master_List!A:A, Master_List!B:B, "Invalid ID"))</f>
        <v/>
      </c>
      <c r="C250" t="str">
        <f>IF(B250="","",_xlfn.XLOOKUP(B250, Master_List!B:B, Master_List!C:C, "Not Found"))</f>
        <v/>
      </c>
    </row>
    <row r="251" spans="2:3">
      <c r="B251" t="str">
        <f>IF(A251="","", _xlfn.XLOOKUP(A251, Master_List!A:A, Master_List!B:B, "Invalid ID"))</f>
        <v/>
      </c>
      <c r="C251" t="str">
        <f>IF(B251="","",_xlfn.XLOOKUP(B251, Master_List!B:B, Master_List!C:C, "Not Found"))</f>
        <v/>
      </c>
    </row>
    <row r="252" spans="2:3">
      <c r="B252" t="str">
        <f>IF(A252="","", _xlfn.XLOOKUP(A252, Master_List!A:A, Master_List!B:B, "Invalid ID"))</f>
        <v/>
      </c>
      <c r="C252" t="str">
        <f>IF(B252="","",_xlfn.XLOOKUP(B252, Master_List!B:B, Master_List!C:C, "Not Found"))</f>
        <v/>
      </c>
    </row>
    <row r="253" spans="2:3">
      <c r="B253" t="str">
        <f>IF(A253="","", _xlfn.XLOOKUP(A253, Master_List!A:A, Master_List!B:B, "Invalid ID"))</f>
        <v/>
      </c>
      <c r="C253" t="str">
        <f>IF(B253="","",_xlfn.XLOOKUP(B253, Master_List!B:B, Master_List!C:C, "Not Found"))</f>
        <v/>
      </c>
    </row>
    <row r="254" spans="2:3">
      <c r="B254" t="str">
        <f>IF(A254="","", _xlfn.XLOOKUP(A254, Master_List!A:A, Master_List!B:B, "Invalid ID"))</f>
        <v/>
      </c>
      <c r="C254" t="str">
        <f>IF(B254="","",_xlfn.XLOOKUP(B254, Master_List!B:B, Master_List!C:C, "Not Found"))</f>
        <v/>
      </c>
    </row>
    <row r="255" spans="2:3">
      <c r="B255" t="str">
        <f>IF(A255="","", _xlfn.XLOOKUP(A255, Master_List!A:A, Master_List!B:B, "Invalid ID"))</f>
        <v/>
      </c>
      <c r="C255" t="str">
        <f>IF(B255="","",_xlfn.XLOOKUP(B255, Master_List!B:B, Master_List!C:C, "Not Found"))</f>
        <v/>
      </c>
    </row>
    <row r="256" spans="2:3">
      <c r="B256" t="str">
        <f>IF(A256="","", _xlfn.XLOOKUP(A256, Master_List!A:A, Master_List!B:B, "Invalid ID"))</f>
        <v/>
      </c>
      <c r="C256" t="str">
        <f>IF(B256="","",_xlfn.XLOOKUP(B256, Master_List!B:B, Master_List!C:C, "Not Found"))</f>
        <v/>
      </c>
    </row>
    <row r="257" spans="2:3">
      <c r="B257" t="str">
        <f>IF(A257="","", _xlfn.XLOOKUP(A257, Master_List!A:A, Master_List!B:B, "Invalid ID"))</f>
        <v/>
      </c>
      <c r="C257" t="str">
        <f>IF(B257="","",_xlfn.XLOOKUP(B257, Master_List!B:B, Master_List!C:C, "Not Found"))</f>
        <v/>
      </c>
    </row>
    <row r="258" spans="2:3">
      <c r="B258" t="str">
        <f>IF(A258="","", _xlfn.XLOOKUP(A258, Master_List!A:A, Master_List!B:B, "Invalid ID"))</f>
        <v/>
      </c>
      <c r="C258" t="str">
        <f>IF(B258="","",_xlfn.XLOOKUP(B258, Master_List!B:B, Master_List!C:C, "Not Found"))</f>
        <v/>
      </c>
    </row>
    <row r="259" spans="2:3">
      <c r="B259" t="str">
        <f>IF(A259="","", _xlfn.XLOOKUP(A259, Master_List!A:A, Master_List!B:B, "Invalid ID"))</f>
        <v/>
      </c>
      <c r="C259" t="str">
        <f>IF(B259="","",_xlfn.XLOOKUP(B259, Master_List!B:B, Master_List!C:C, "Not Found"))</f>
        <v/>
      </c>
    </row>
    <row r="260" spans="2:3">
      <c r="B260" t="str">
        <f>IF(A260="","", _xlfn.XLOOKUP(A260, Master_List!A:A, Master_List!B:B, "Invalid ID"))</f>
        <v/>
      </c>
      <c r="C260" t="str">
        <f>IF(B260="","",_xlfn.XLOOKUP(B260, Master_List!B:B, Master_List!C:C, "Not Found"))</f>
        <v/>
      </c>
    </row>
    <row r="261" spans="2:3">
      <c r="B261" t="str">
        <f>IF(A261="","", _xlfn.XLOOKUP(A261, Master_List!A:A, Master_List!B:B, "Invalid ID"))</f>
        <v/>
      </c>
      <c r="C261" t="str">
        <f>IF(B261="","",_xlfn.XLOOKUP(B261, Master_List!B:B, Master_List!C:C, "Not Found"))</f>
        <v/>
      </c>
    </row>
    <row r="262" spans="2:3">
      <c r="B262" t="str">
        <f>IF(A262="","", _xlfn.XLOOKUP(A262, Master_List!A:A, Master_List!B:B, "Invalid ID"))</f>
        <v/>
      </c>
      <c r="C262" t="str">
        <f>IF(B262="","",_xlfn.XLOOKUP(B262, Master_List!B:B, Master_List!C:C, "Not Found"))</f>
        <v/>
      </c>
    </row>
    <row r="263" spans="2:3">
      <c r="B263" t="str">
        <f>IF(A263="","", _xlfn.XLOOKUP(A263, Master_List!A:A, Master_List!B:B, "Invalid ID"))</f>
        <v/>
      </c>
      <c r="C263" t="str">
        <f>IF(B263="","",_xlfn.XLOOKUP(B263, Master_List!B:B, Master_List!C:C, "Not Found"))</f>
        <v/>
      </c>
    </row>
    <row r="264" spans="2:3">
      <c r="B264" t="str">
        <f>IF(A264="","", _xlfn.XLOOKUP(A264, Master_List!A:A, Master_List!B:B, "Invalid ID"))</f>
        <v/>
      </c>
      <c r="C264" t="str">
        <f>IF(B264="","",_xlfn.XLOOKUP(B264, Master_List!B:B, Master_List!C:C, "Not Found"))</f>
        <v/>
      </c>
    </row>
    <row r="265" spans="2:3">
      <c r="B265" t="str">
        <f>IF(A265="","", _xlfn.XLOOKUP(A265, Master_List!A:A, Master_List!B:B, "Invalid ID"))</f>
        <v/>
      </c>
      <c r="C265" t="str">
        <f>IF(B265="","",_xlfn.XLOOKUP(B265, Master_List!B:B, Master_List!C:C, "Not Found"))</f>
        <v/>
      </c>
    </row>
    <row r="266" spans="2:3">
      <c r="B266" t="str">
        <f>IF(A266="","", _xlfn.XLOOKUP(A266, Master_List!A:A, Master_List!B:B, "Invalid ID"))</f>
        <v/>
      </c>
      <c r="C266" t="str">
        <f>IF(B266="","",_xlfn.XLOOKUP(B266, Master_List!B:B, Master_List!C:C, "Not Found"))</f>
        <v/>
      </c>
    </row>
    <row r="267" spans="2:3">
      <c r="B267" t="str">
        <f>IF(A267="","", _xlfn.XLOOKUP(A267, Master_List!A:A, Master_List!B:B, "Invalid ID"))</f>
        <v/>
      </c>
      <c r="C267" t="str">
        <f>IF(B267="","",_xlfn.XLOOKUP(B267, Master_List!B:B, Master_List!C:C, "Not Found"))</f>
        <v/>
      </c>
    </row>
    <row r="268" spans="2:3">
      <c r="B268" t="str">
        <f>IF(A268="","", _xlfn.XLOOKUP(A268, Master_List!A:A, Master_List!B:B, "Invalid ID"))</f>
        <v/>
      </c>
      <c r="C268" t="str">
        <f>IF(B268="","",_xlfn.XLOOKUP(B268, Master_List!B:B, Master_List!C:C, "Not Found"))</f>
        <v/>
      </c>
    </row>
    <row r="269" spans="2:3">
      <c r="B269" t="str">
        <f>IF(A269="","", _xlfn.XLOOKUP(A269, Master_List!A:A, Master_List!B:B, "Invalid ID"))</f>
        <v/>
      </c>
      <c r="C269" t="str">
        <f>IF(B269="","",_xlfn.XLOOKUP(B269, Master_List!B:B, Master_List!C:C, "Not Found"))</f>
        <v/>
      </c>
    </row>
    <row r="270" spans="2:3">
      <c r="B270" t="str">
        <f>IF(A270="","", _xlfn.XLOOKUP(A270, Master_List!A:A, Master_List!B:B, "Invalid ID"))</f>
        <v/>
      </c>
      <c r="C270" t="str">
        <f>IF(B270="","",_xlfn.XLOOKUP(B270, Master_List!B:B, Master_List!C:C, "Not Found"))</f>
        <v/>
      </c>
    </row>
    <row r="271" spans="2:3">
      <c r="B271" t="str">
        <f>IF(A271="","", _xlfn.XLOOKUP(A271, Master_List!A:A, Master_List!B:B, "Invalid ID"))</f>
        <v/>
      </c>
      <c r="C271" t="str">
        <f>IF(B271="","",_xlfn.XLOOKUP(B271, Master_List!B:B, Master_List!C:C, "Not Found"))</f>
        <v/>
      </c>
    </row>
    <row r="272" spans="2:3">
      <c r="B272" t="str">
        <f>IF(A272="","", _xlfn.XLOOKUP(A272, Master_List!A:A, Master_List!B:B, "Invalid ID"))</f>
        <v/>
      </c>
      <c r="C272" t="str">
        <f>IF(B272="","",_xlfn.XLOOKUP(B272, Master_List!B:B, Master_List!C:C, "Not Found"))</f>
        <v/>
      </c>
    </row>
    <row r="273" spans="2:3">
      <c r="B273" t="str">
        <f>IF(A273="","", _xlfn.XLOOKUP(A273, Master_List!A:A, Master_List!B:B, "Invalid ID"))</f>
        <v/>
      </c>
      <c r="C273" t="str">
        <f>IF(B273="","",_xlfn.XLOOKUP(B273, Master_List!B:B, Master_List!C:C, "Not Found"))</f>
        <v/>
      </c>
    </row>
    <row r="274" spans="2:3">
      <c r="B274" t="str">
        <f>IF(A274="","", _xlfn.XLOOKUP(A274, Master_List!A:A, Master_List!B:B, "Invalid ID"))</f>
        <v/>
      </c>
      <c r="C274" t="str">
        <f>IF(B274="","",_xlfn.XLOOKUP(B274, Master_List!B:B, Master_List!C:C, "Not Found"))</f>
        <v/>
      </c>
    </row>
    <row r="275" spans="2:3">
      <c r="B275" t="str">
        <f>IF(A275="","", _xlfn.XLOOKUP(A275, Master_List!A:A, Master_List!B:B, "Invalid ID"))</f>
        <v/>
      </c>
      <c r="C275" t="str">
        <f>IF(B275="","",_xlfn.XLOOKUP(B275, Master_List!B:B, Master_List!C:C, "Not Found"))</f>
        <v/>
      </c>
    </row>
    <row r="276" spans="2:3">
      <c r="B276" t="str">
        <f>IF(A276="","", _xlfn.XLOOKUP(A276, Master_List!A:A, Master_List!B:B, "Invalid ID"))</f>
        <v/>
      </c>
      <c r="C276" t="str">
        <f>IF(B276="","",_xlfn.XLOOKUP(B276, Master_List!B:B, Master_List!C:C, "Not Found"))</f>
        <v/>
      </c>
    </row>
    <row r="277" spans="2:3">
      <c r="B277" t="str">
        <f>IF(A277="","", _xlfn.XLOOKUP(A277, Master_List!A:A, Master_List!B:B, "Invalid ID"))</f>
        <v/>
      </c>
      <c r="C277" t="str">
        <f>IF(B277="","",_xlfn.XLOOKUP(B277, Master_List!B:B, Master_List!C:C, "Not Found"))</f>
        <v/>
      </c>
    </row>
    <row r="278" spans="2:3">
      <c r="B278" t="str">
        <f>IF(A278="","", _xlfn.XLOOKUP(A278, Master_List!A:A, Master_List!B:B, "Invalid ID"))</f>
        <v/>
      </c>
      <c r="C278" t="str">
        <f>IF(B278="","",_xlfn.XLOOKUP(B278, Master_List!B:B, Master_List!C:C, "Not Found"))</f>
        <v/>
      </c>
    </row>
    <row r="279" spans="2:3">
      <c r="B279" t="str">
        <f>IF(A279="","", _xlfn.XLOOKUP(A279, Master_List!A:A, Master_List!B:B, "Invalid ID"))</f>
        <v/>
      </c>
      <c r="C279" t="str">
        <f>IF(B279="","",_xlfn.XLOOKUP(B279, Master_List!B:B, Master_List!C:C, "Not Found"))</f>
        <v/>
      </c>
    </row>
    <row r="280" spans="2:3">
      <c r="B280" t="str">
        <f>IF(A280="","", _xlfn.XLOOKUP(A280, Master_List!A:A, Master_List!B:B, "Invalid ID"))</f>
        <v/>
      </c>
      <c r="C280" t="str">
        <f>IF(B280="","",_xlfn.XLOOKUP(B280, Master_List!B:B, Master_List!C:C, "Not Found"))</f>
        <v/>
      </c>
    </row>
    <row r="281" spans="2:3">
      <c r="B281" t="str">
        <f>IF(A281="","", _xlfn.XLOOKUP(A281, Master_List!A:A, Master_List!B:B, "Invalid ID"))</f>
        <v/>
      </c>
      <c r="C281" t="str">
        <f>IF(B281="","",_xlfn.XLOOKUP(B281, Master_List!B:B, Master_List!C:C, "Not Found"))</f>
        <v/>
      </c>
    </row>
    <row r="282" spans="2:3">
      <c r="B282" t="str">
        <f>IF(A282="","", _xlfn.XLOOKUP(A282, Master_List!A:A, Master_List!B:B, "Invalid ID"))</f>
        <v/>
      </c>
      <c r="C282" t="str">
        <f>IF(B282="","",_xlfn.XLOOKUP(B282, Master_List!B:B, Master_List!C:C, "Not Found"))</f>
        <v/>
      </c>
    </row>
    <row r="283" spans="2:3">
      <c r="B283" t="str">
        <f>IF(A283="","", _xlfn.XLOOKUP(A283, Master_List!A:A, Master_List!B:B, "Invalid ID"))</f>
        <v/>
      </c>
      <c r="C283" t="str">
        <f>IF(B283="","",_xlfn.XLOOKUP(B283, Master_List!B:B, Master_List!C:C, "Not Found"))</f>
        <v/>
      </c>
    </row>
    <row r="284" spans="2:3">
      <c r="B284" t="str">
        <f>IF(A284="","", _xlfn.XLOOKUP(A284, Master_List!A:A, Master_List!B:B, "Invalid ID"))</f>
        <v/>
      </c>
      <c r="C284" t="str">
        <f>IF(B284="","",_xlfn.XLOOKUP(B284, Master_List!B:B, Master_List!C:C, "Not Found"))</f>
        <v/>
      </c>
    </row>
    <row r="285" spans="2:3">
      <c r="B285" t="str">
        <f>IF(A285="","", _xlfn.XLOOKUP(A285, Master_List!A:A, Master_List!B:B, "Invalid ID"))</f>
        <v/>
      </c>
      <c r="C285" t="str">
        <f>IF(B285="","",_xlfn.XLOOKUP(B285, Master_List!B:B, Master_List!C:C, "Not Found"))</f>
        <v/>
      </c>
    </row>
    <row r="286" spans="2:3">
      <c r="B286" t="str">
        <f>IF(A286="","", _xlfn.XLOOKUP(A286, Master_List!A:A, Master_List!B:B, "Invalid ID"))</f>
        <v/>
      </c>
      <c r="C286" t="str">
        <f>IF(B286="","",_xlfn.XLOOKUP(B286, Master_List!B:B, Master_List!C:C, "Not Found"))</f>
        <v/>
      </c>
    </row>
    <row r="287" spans="2:3">
      <c r="B287" t="str">
        <f>IF(A287="","", _xlfn.XLOOKUP(A287, Master_List!A:A, Master_List!B:B, "Invalid ID"))</f>
        <v/>
      </c>
      <c r="C287" t="str">
        <f>IF(B287="","",_xlfn.XLOOKUP(B287, Master_List!B:B, Master_List!C:C, "Not Found"))</f>
        <v/>
      </c>
    </row>
    <row r="288" spans="2:3">
      <c r="B288" t="str">
        <f>IF(A288="","", _xlfn.XLOOKUP(A288, Master_List!A:A, Master_List!B:B, "Invalid ID"))</f>
        <v/>
      </c>
      <c r="C288" t="str">
        <f>IF(B288="","",_xlfn.XLOOKUP(B288, Master_List!B:B, Master_List!C:C, "Not Found"))</f>
        <v/>
      </c>
    </row>
    <row r="289" spans="2:3">
      <c r="B289" t="str">
        <f>IF(A289="","", _xlfn.XLOOKUP(A289, Master_List!A:A, Master_List!B:B, "Invalid ID"))</f>
        <v/>
      </c>
      <c r="C289" t="str">
        <f>IF(B289="","",_xlfn.XLOOKUP(B289, Master_List!B:B, Master_List!C:C, "Not Found"))</f>
        <v/>
      </c>
    </row>
    <row r="290" spans="2:3">
      <c r="B290" t="str">
        <f>IF(A290="","", _xlfn.XLOOKUP(A290, Master_List!A:A, Master_List!B:B, "Invalid ID"))</f>
        <v/>
      </c>
      <c r="C290" t="str">
        <f>IF(B290="","",_xlfn.XLOOKUP(B290, Master_List!B:B, Master_List!C:C, "Not Found"))</f>
        <v/>
      </c>
    </row>
    <row r="291" spans="2:3">
      <c r="B291" t="str">
        <f>IF(A291="","", _xlfn.XLOOKUP(A291, Master_List!A:A, Master_List!B:B, "Invalid ID"))</f>
        <v/>
      </c>
      <c r="C291" t="str">
        <f>IF(B291="","",_xlfn.XLOOKUP(B291, Master_List!B:B, Master_List!C:C, "Not Found"))</f>
        <v/>
      </c>
    </row>
    <row r="292" spans="2:3">
      <c r="B292" t="str">
        <f>IF(A292="","", _xlfn.XLOOKUP(A292, Master_List!A:A, Master_List!B:B, "Invalid ID"))</f>
        <v/>
      </c>
      <c r="C292" t="str">
        <f>IF(B292="","",_xlfn.XLOOKUP(B292, Master_List!B:B, Master_List!C:C, "Not Found"))</f>
        <v/>
      </c>
    </row>
    <row r="293" spans="2:3">
      <c r="B293" t="str">
        <f>IF(A293="","", _xlfn.XLOOKUP(A293, Master_List!A:A, Master_List!B:B, "Invalid ID"))</f>
        <v/>
      </c>
      <c r="C293" t="str">
        <f>IF(B293="","",_xlfn.XLOOKUP(B293, Master_List!B:B, Master_List!C:C, "Not Found"))</f>
        <v/>
      </c>
    </row>
    <row r="294" spans="2:3">
      <c r="B294" t="str">
        <f>IF(A294="","", _xlfn.XLOOKUP(A294, Master_List!A:A, Master_List!B:B, "Invalid ID"))</f>
        <v/>
      </c>
      <c r="C294" t="str">
        <f>IF(B294="","",_xlfn.XLOOKUP(B294, Master_List!B:B, Master_List!C:C, "Not Found"))</f>
        <v/>
      </c>
    </row>
    <row r="295" spans="2:3">
      <c r="B295" t="str">
        <f>IF(A295="","", _xlfn.XLOOKUP(A295, Master_List!A:A, Master_List!B:B, "Invalid ID"))</f>
        <v/>
      </c>
      <c r="C295" t="str">
        <f>IF(B295="","",_xlfn.XLOOKUP(B295, Master_List!B:B, Master_List!C:C, "Not Found"))</f>
        <v/>
      </c>
    </row>
    <row r="296" spans="2:3">
      <c r="B296" t="str">
        <f>IF(A296="","", _xlfn.XLOOKUP(A296, Master_List!A:A, Master_List!B:B, "Invalid ID"))</f>
        <v/>
      </c>
      <c r="C296" t="str">
        <f>IF(B296="","",_xlfn.XLOOKUP(B296, Master_List!B:B, Master_List!C:C, "Not Found"))</f>
        <v/>
      </c>
    </row>
    <row r="297" spans="2:3">
      <c r="B297" t="str">
        <f>IF(A297="","", _xlfn.XLOOKUP(A297, Master_List!A:A, Master_List!B:B, "Invalid ID"))</f>
        <v/>
      </c>
      <c r="C297" t="str">
        <f>IF(B297="","",_xlfn.XLOOKUP(B297, Master_List!B:B, Master_List!C:C, "Not Found"))</f>
        <v/>
      </c>
    </row>
    <row r="298" spans="2:3">
      <c r="B298" t="str">
        <f>IF(A298="","", _xlfn.XLOOKUP(A298, Master_List!A:A, Master_List!B:B, "Invalid ID"))</f>
        <v/>
      </c>
      <c r="C298" t="str">
        <f>IF(B298="","",_xlfn.XLOOKUP(B298, Master_List!B:B, Master_List!C:C, "Not Found"))</f>
        <v/>
      </c>
    </row>
    <row r="299" spans="2:3">
      <c r="B299" t="str">
        <f>IF(A299="","", _xlfn.XLOOKUP(A299, Master_List!A:A, Master_List!B:B, "Invalid ID"))</f>
        <v/>
      </c>
      <c r="C299" t="str">
        <f>IF(B299="","",_xlfn.XLOOKUP(B299, Master_List!B:B, Master_List!C:C, "Not Found"))</f>
        <v/>
      </c>
    </row>
    <row r="300" spans="2:3">
      <c r="B300" t="str">
        <f>IF(A300="","", _xlfn.XLOOKUP(A300, Master_List!A:A, Master_List!B:B, "Invalid ID"))</f>
        <v/>
      </c>
      <c r="C300" t="str">
        <f>IF(B300="","",_xlfn.XLOOKUP(B300, Master_List!B:B, Master_List!C:C, "Not Found"))</f>
        <v/>
      </c>
    </row>
    <row r="301" spans="2:3">
      <c r="B301" t="str">
        <f>IF(A301="","", _xlfn.XLOOKUP(A301, Master_List!A:A, Master_List!B:B, "Invalid ID"))</f>
        <v/>
      </c>
      <c r="C301" t="str">
        <f>IF(B301="","",_xlfn.XLOOKUP(B301, Master_List!B:B, Master_List!C:C, "Not Found"))</f>
        <v/>
      </c>
    </row>
    <row r="302" spans="2:3">
      <c r="B302" t="str">
        <f>IF(A302="","", _xlfn.XLOOKUP(A302, Master_List!A:A, Master_List!B:B, "Invalid ID"))</f>
        <v/>
      </c>
      <c r="C302" t="str">
        <f>IF(B302="","",_xlfn.XLOOKUP(B302, Master_List!B:B, Master_List!C:C, "Not Found"))</f>
        <v/>
      </c>
    </row>
    <row r="303" spans="2:3">
      <c r="B303" t="str">
        <f>IF(A303="","", _xlfn.XLOOKUP(A303, Master_List!A:A, Master_List!B:B, "Invalid ID"))</f>
        <v/>
      </c>
      <c r="C303" t="str">
        <f>IF(B303="","",_xlfn.XLOOKUP(B303, Master_List!B:B, Master_List!C:C, "Not Found"))</f>
        <v/>
      </c>
    </row>
    <row r="304" spans="2:3">
      <c r="B304" t="str">
        <f>IF(A304="","", _xlfn.XLOOKUP(A304, Master_List!A:A, Master_List!B:B, "Invalid ID"))</f>
        <v/>
      </c>
      <c r="C304" t="str">
        <f>IF(B304="","",_xlfn.XLOOKUP(B304, Master_List!B:B, Master_List!C:C, "Not Found"))</f>
        <v/>
      </c>
    </row>
    <row r="305" spans="2:3">
      <c r="B305" t="str">
        <f>IF(A305="","", _xlfn.XLOOKUP(A305, Master_List!A:A, Master_List!B:B, "Invalid ID"))</f>
        <v/>
      </c>
      <c r="C305" t="str">
        <f>IF(B305="","",_xlfn.XLOOKUP(B305, Master_List!B:B, Master_List!C:C, "Not Found"))</f>
        <v/>
      </c>
    </row>
    <row r="306" spans="2:3">
      <c r="B306" t="str">
        <f>IF(A306="","", _xlfn.XLOOKUP(A306, Master_List!A:A, Master_List!B:B, "Invalid ID"))</f>
        <v/>
      </c>
      <c r="C306" t="str">
        <f>IF(B306="","",_xlfn.XLOOKUP(B306, Master_List!B:B, Master_List!C:C, "Not Found"))</f>
        <v/>
      </c>
    </row>
    <row r="307" spans="2:3">
      <c r="B307" t="str">
        <f>IF(A307="","", _xlfn.XLOOKUP(A307, Master_List!A:A, Master_List!B:B, "Invalid ID"))</f>
        <v/>
      </c>
      <c r="C307" t="str">
        <f>IF(B307="","",_xlfn.XLOOKUP(B307, Master_List!B:B, Master_List!C:C, "Not Found"))</f>
        <v/>
      </c>
    </row>
    <row r="308" spans="2:3">
      <c r="C308" t="str">
        <f>IF(B308="","",_xlfn.XLOOKUP(B308, Master_List!B:B, Master_List!C:C, "Not Found"))</f>
        <v/>
      </c>
    </row>
    <row r="309" spans="2:3">
      <c r="C309" t="str">
        <f>IF(B309="","",_xlfn.XLOOKUP(B309, Master_List!B:B, Master_List!C:C, "Not Found"))</f>
        <v/>
      </c>
    </row>
    <row r="310" spans="2:3">
      <c r="C310" t="str">
        <f>IF(B310="","",_xlfn.XLOOKUP(B310, Master_List!B:B, Master_List!C:C, "Not Found"))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E037-5564-4889-B55B-BE8671525A0E}">
  <dimension ref="A1:K11"/>
  <sheetViews>
    <sheetView workbookViewId="0">
      <selection activeCell="C16" sqref="C16"/>
    </sheetView>
  </sheetViews>
  <sheetFormatPr defaultRowHeight="15"/>
  <cols>
    <col min="1" max="1" width="15.140625" customWidth="1"/>
    <col min="2" max="2" width="9" customWidth="1"/>
    <col min="3" max="3" width="18.140625" customWidth="1"/>
    <col min="4" max="4" width="18.42578125" customWidth="1"/>
    <col min="5" max="5" width="18.140625" customWidth="1"/>
    <col min="6" max="6" width="18.28515625" customWidth="1"/>
    <col min="7" max="7" width="12.28515625" customWidth="1"/>
    <col min="8" max="9" width="13.140625" customWidth="1"/>
    <col min="10" max="10" width="11.5703125" customWidth="1"/>
    <col min="11" max="11" width="15.140625" customWidth="1"/>
  </cols>
  <sheetData>
    <row r="1" spans="1:11" ht="30.75" thickBot="1">
      <c r="A1" s="1" t="s">
        <v>997</v>
      </c>
      <c r="B1" s="1" t="s">
        <v>998</v>
      </c>
      <c r="C1" s="1" t="s">
        <v>999</v>
      </c>
      <c r="D1" s="1" t="s">
        <v>1000</v>
      </c>
      <c r="E1" s="1" t="s">
        <v>1001</v>
      </c>
      <c r="F1" s="1" t="s">
        <v>1002</v>
      </c>
      <c r="G1" s="1" t="s">
        <v>519</v>
      </c>
      <c r="H1" s="1" t="s">
        <v>96</v>
      </c>
      <c r="I1" s="1" t="s">
        <v>734</v>
      </c>
      <c r="J1" s="1" t="s">
        <v>413</v>
      </c>
      <c r="K1" s="1" t="s">
        <v>1003</v>
      </c>
    </row>
    <row r="2" spans="1:11">
      <c r="A2">
        <v>1</v>
      </c>
      <c r="B2" t="s">
        <v>987</v>
      </c>
      <c r="C2">
        <v>900</v>
      </c>
      <c r="D2">
        <f>SUMIF(Auction_Log!D:D, A2, Auction_Log!E:E)</f>
        <v>0</v>
      </c>
      <c r="E2">
        <f>C2-D2</f>
        <v>900</v>
      </c>
      <c r="F2">
        <f>COUNTIF(Auction_Log!D:D, A2)</f>
        <v>0</v>
      </c>
      <c r="G2">
        <f>COUNTIFS(Auction_Log!D:D, A2, Auction_Log!C:C, "Forwards")</f>
        <v>0</v>
      </c>
      <c r="H2">
        <f>COUNTIFS(Auction_Log!D:D, A2, Auction_Log!C:C, "Midfield")</f>
        <v>0</v>
      </c>
      <c r="I2">
        <f>COUNTIFS(Auction_Log!D:D, A2, Auction_Log!C:C, "Defender")</f>
        <v>0</v>
      </c>
      <c r="J2">
        <f>COUNTIFS(Auction_Log!D:D, A2, Auction_Log!C:C, "Goalkeeper")</f>
        <v>0</v>
      </c>
      <c r="K2" t="str">
        <f>IF(F2&gt;16, "🛑 OVER MAX (16)", IF(G2&gt;4, "🛑 MAX FW (4)", IF(H2&gt;5, "🛑 MAX MF (5)", IF(I2&gt;5, "🛑 MAX DF (5)", IF(J2&gt;2, "🛑 MAX GK (2)", IF(AND(F2&gt;=11, G2&gt;=2, H2&gt;=2, I2&gt;=3, J2&gt;=1), "✅ COMPLETE", "⏳ DRAFTING"))))))</f>
        <v>⏳ DRAFTING</v>
      </c>
    </row>
    <row r="3" spans="1:11">
      <c r="A3">
        <v>2</v>
      </c>
      <c r="B3" t="s">
        <v>988</v>
      </c>
      <c r="C3">
        <v>900</v>
      </c>
      <c r="D3">
        <f>SUMIF(Auction_Log!D:D, A3, Auction_Log!E:E)</f>
        <v>0</v>
      </c>
      <c r="E3">
        <f t="shared" ref="E3:E11" si="0">C3-D3</f>
        <v>900</v>
      </c>
      <c r="F3">
        <f>COUNTIF(Auction_Log!D:D, A3)</f>
        <v>0</v>
      </c>
      <c r="G3">
        <f>COUNTIFS(Auction_Log!D:D, A3, Auction_Log!C:C, "Forwards")</f>
        <v>0</v>
      </c>
      <c r="H3">
        <f>COUNTIFS(Auction_Log!D:D, A3, Auction_Log!C:C, "Midfield")</f>
        <v>0</v>
      </c>
      <c r="I3">
        <f>COUNTIFS(Auction_Log!D:D, A3, Auction_Log!C:C, "Defender")</f>
        <v>0</v>
      </c>
      <c r="J3">
        <f>COUNTIFS(Auction_Log!D:D, A3, Auction_Log!C:C, "Goalkeeper")</f>
        <v>0</v>
      </c>
      <c r="K3" t="str">
        <f t="shared" ref="K3:K11" si="1">IF(F3&gt;16, "🛑 OVER MAX (16)", IF(G3&gt;4, "🛑 MAX FW (4)", IF(H3&gt;5, "🛑 MAX MF (5)", IF(I3&gt;5, "🛑 MAX DF (5)", IF(J3&gt;2, "🛑 MAX GK (2)", IF(AND(F3&gt;=11, G3&gt;=2, H3&gt;=2, I3&gt;=3, J3&gt;=1), "✅ COMPLETE", "⏳ DRAFTING"))))))</f>
        <v>⏳ DRAFTING</v>
      </c>
    </row>
    <row r="4" spans="1:11">
      <c r="A4">
        <v>3</v>
      </c>
      <c r="B4" t="s">
        <v>989</v>
      </c>
      <c r="C4">
        <v>900</v>
      </c>
      <c r="D4">
        <f>SUMIF(Auction_Log!D:D, A4, Auction_Log!E:E)</f>
        <v>0</v>
      </c>
      <c r="E4">
        <f t="shared" si="0"/>
        <v>900</v>
      </c>
      <c r="F4">
        <f>COUNTIF(Auction_Log!D:D, A4)</f>
        <v>0</v>
      </c>
      <c r="G4">
        <f>COUNTIFS(Auction_Log!D:D, A4, Auction_Log!C:C, "Forwards")</f>
        <v>0</v>
      </c>
      <c r="H4">
        <f>COUNTIFS(Auction_Log!D:D, A4, Auction_Log!C:C, "Midfield")</f>
        <v>0</v>
      </c>
      <c r="I4">
        <f>COUNTIFS(Auction_Log!D:D, A4, Auction_Log!C:C, "Defender")</f>
        <v>0</v>
      </c>
      <c r="J4">
        <f>COUNTIFS(Auction_Log!D:D, A4, Auction_Log!C:C, "Goalkeeper")</f>
        <v>0</v>
      </c>
      <c r="K4" t="str">
        <f t="shared" si="1"/>
        <v>⏳ DRAFTING</v>
      </c>
    </row>
    <row r="5" spans="1:11">
      <c r="A5">
        <v>4</v>
      </c>
      <c r="B5" t="s">
        <v>990</v>
      </c>
      <c r="C5">
        <v>900</v>
      </c>
      <c r="D5">
        <f>SUMIF(Auction_Log!D:D, A5, Auction_Log!E:E)</f>
        <v>0</v>
      </c>
      <c r="E5">
        <f t="shared" si="0"/>
        <v>900</v>
      </c>
      <c r="F5">
        <f>COUNTIF(Auction_Log!D:D, A5)</f>
        <v>0</v>
      </c>
      <c r="G5">
        <f>COUNTIFS(Auction_Log!D:D, A5, Auction_Log!C:C, "Forwards")</f>
        <v>0</v>
      </c>
      <c r="H5">
        <f>COUNTIFS(Auction_Log!D:D, A5, Auction_Log!C:C, "Midfield")</f>
        <v>0</v>
      </c>
      <c r="I5">
        <f>COUNTIFS(Auction_Log!D:D, A5, Auction_Log!C:C, "Defender")</f>
        <v>0</v>
      </c>
      <c r="J5">
        <f>COUNTIFS(Auction_Log!D:D, A5, Auction_Log!C:C, "Goalkeeper")</f>
        <v>0</v>
      </c>
      <c r="K5" t="str">
        <f t="shared" si="1"/>
        <v>⏳ DRAFTING</v>
      </c>
    </row>
    <row r="6" spans="1:11">
      <c r="A6">
        <v>5</v>
      </c>
      <c r="B6" t="s">
        <v>991</v>
      </c>
      <c r="C6">
        <v>900</v>
      </c>
      <c r="D6">
        <f>SUMIF(Auction_Log!D:D, A6, Auction_Log!E:E)</f>
        <v>0</v>
      </c>
      <c r="E6">
        <f t="shared" si="0"/>
        <v>900</v>
      </c>
      <c r="F6">
        <f>COUNTIF(Auction_Log!D:D, A6)</f>
        <v>0</v>
      </c>
      <c r="G6">
        <f>COUNTIFS(Auction_Log!D:D, A6, Auction_Log!C:C, "Forwards")</f>
        <v>0</v>
      </c>
      <c r="H6">
        <f>COUNTIFS(Auction_Log!D:D, A6, Auction_Log!C:C, "Midfield")</f>
        <v>0</v>
      </c>
      <c r="I6">
        <f>COUNTIFS(Auction_Log!D:D, A6, Auction_Log!C:C, "Defender")</f>
        <v>0</v>
      </c>
      <c r="J6">
        <f>COUNTIFS(Auction_Log!D:D, A6, Auction_Log!C:C, "Goalkeeper")</f>
        <v>0</v>
      </c>
      <c r="K6" t="str">
        <f t="shared" si="1"/>
        <v>⏳ DRAFTING</v>
      </c>
    </row>
    <row r="7" spans="1:11">
      <c r="A7">
        <v>6</v>
      </c>
      <c r="B7" t="s">
        <v>992</v>
      </c>
      <c r="C7">
        <v>900</v>
      </c>
      <c r="D7">
        <f>SUMIF(Auction_Log!D:D, A7, Auction_Log!E:E)</f>
        <v>0</v>
      </c>
      <c r="E7">
        <f t="shared" si="0"/>
        <v>900</v>
      </c>
      <c r="F7">
        <f>COUNTIF(Auction_Log!D:D, A7)</f>
        <v>0</v>
      </c>
      <c r="G7">
        <f>COUNTIFS(Auction_Log!D:D, A7, Auction_Log!C:C, "Forwards")</f>
        <v>0</v>
      </c>
      <c r="H7">
        <f>COUNTIFS(Auction_Log!D:D, A7, Auction_Log!C:C, "Midfield")</f>
        <v>0</v>
      </c>
      <c r="I7">
        <f>COUNTIFS(Auction_Log!D:D, A7, Auction_Log!C:C, "Defender")</f>
        <v>0</v>
      </c>
      <c r="J7">
        <f>COUNTIFS(Auction_Log!D:D, A7, Auction_Log!C:C, "Goalkeeper")</f>
        <v>0</v>
      </c>
      <c r="K7" t="str">
        <f t="shared" si="1"/>
        <v>⏳ DRAFTING</v>
      </c>
    </row>
    <row r="8" spans="1:11">
      <c r="A8">
        <v>7</v>
      </c>
      <c r="B8" t="s">
        <v>993</v>
      </c>
      <c r="C8">
        <v>900</v>
      </c>
      <c r="D8">
        <f>SUMIF(Auction_Log!D:D, A8, Auction_Log!E:E)</f>
        <v>0</v>
      </c>
      <c r="E8">
        <f t="shared" si="0"/>
        <v>900</v>
      </c>
      <c r="F8">
        <f>COUNTIF(Auction_Log!D:D, A8)</f>
        <v>0</v>
      </c>
      <c r="G8">
        <f>COUNTIFS(Auction_Log!D:D, A8, Auction_Log!C:C, "Forwards")</f>
        <v>0</v>
      </c>
      <c r="H8">
        <f>COUNTIFS(Auction_Log!D:D, A8, Auction_Log!C:C, "Midfield")</f>
        <v>0</v>
      </c>
      <c r="I8">
        <f>COUNTIFS(Auction_Log!D:D, A8, Auction_Log!C:C, "Defender")</f>
        <v>0</v>
      </c>
      <c r="J8">
        <f>COUNTIFS(Auction_Log!D:D, A8, Auction_Log!C:C, "Goalkeeper")</f>
        <v>0</v>
      </c>
      <c r="K8" t="str">
        <f t="shared" si="1"/>
        <v>⏳ DRAFTING</v>
      </c>
    </row>
    <row r="9" spans="1:11">
      <c r="A9">
        <v>8</v>
      </c>
      <c r="B9" t="s">
        <v>994</v>
      </c>
      <c r="C9">
        <v>900</v>
      </c>
      <c r="D9">
        <f>SUMIF(Auction_Log!D:D, A9, Auction_Log!E:E)</f>
        <v>0</v>
      </c>
      <c r="E9">
        <f t="shared" si="0"/>
        <v>900</v>
      </c>
      <c r="F9">
        <f>COUNTIF(Auction_Log!D:D, A9)</f>
        <v>0</v>
      </c>
      <c r="G9">
        <f>COUNTIFS(Auction_Log!D:D, A9, Auction_Log!C:C, "Forwards")</f>
        <v>0</v>
      </c>
      <c r="H9">
        <f>COUNTIFS(Auction_Log!D:D, A9, Auction_Log!C:C, "Midfield")</f>
        <v>0</v>
      </c>
      <c r="I9">
        <f>COUNTIFS(Auction_Log!D:D, A9, Auction_Log!C:C, "Defender")</f>
        <v>0</v>
      </c>
      <c r="J9">
        <f>COUNTIFS(Auction_Log!D:D, A9, Auction_Log!C:C, "Goalkeeper")</f>
        <v>0</v>
      </c>
      <c r="K9" t="str">
        <f t="shared" si="1"/>
        <v>⏳ DRAFTING</v>
      </c>
    </row>
    <row r="10" spans="1:11">
      <c r="A10">
        <v>9</v>
      </c>
      <c r="B10" t="s">
        <v>995</v>
      </c>
      <c r="C10">
        <v>900</v>
      </c>
      <c r="D10">
        <f>SUMIF(Auction_Log!D:D, A10, Auction_Log!E:E)</f>
        <v>0</v>
      </c>
      <c r="E10">
        <f t="shared" si="0"/>
        <v>900</v>
      </c>
      <c r="F10">
        <f>COUNTIF(Auction_Log!D:D, A10)</f>
        <v>0</v>
      </c>
      <c r="G10">
        <f>COUNTIFS(Auction_Log!D:D, A10, Auction_Log!C:C, "Forwards")</f>
        <v>0</v>
      </c>
      <c r="H10">
        <f>COUNTIFS(Auction_Log!D:D, A10, Auction_Log!C:C, "Midfield")</f>
        <v>0</v>
      </c>
      <c r="I10">
        <f>COUNTIFS(Auction_Log!D:D, A10, Auction_Log!C:C, "Defender")</f>
        <v>0</v>
      </c>
      <c r="J10">
        <f>COUNTIFS(Auction_Log!D:D, A10, Auction_Log!C:C, "Goalkeeper")</f>
        <v>0</v>
      </c>
      <c r="K10" t="str">
        <f t="shared" si="1"/>
        <v>⏳ DRAFTING</v>
      </c>
    </row>
    <row r="11" spans="1:11">
      <c r="A11">
        <v>10</v>
      </c>
      <c r="B11" t="s">
        <v>996</v>
      </c>
      <c r="C11">
        <v>900</v>
      </c>
      <c r="D11">
        <f>SUMIF(Auction_Log!D:D, A11, Auction_Log!E:E)</f>
        <v>0</v>
      </c>
      <c r="E11">
        <f t="shared" si="0"/>
        <v>900</v>
      </c>
      <c r="F11">
        <f>COUNTIF(Auction_Log!D:D, A11)</f>
        <v>0</v>
      </c>
      <c r="G11">
        <f>COUNTIFS(Auction_Log!D:D, A11, Auction_Log!C:C, "Forwards")</f>
        <v>0</v>
      </c>
      <c r="H11">
        <f>COUNTIFS(Auction_Log!D:D, A11, Auction_Log!C:C, "Midfield")</f>
        <v>0</v>
      </c>
      <c r="I11">
        <f>COUNTIFS(Auction_Log!D:D, A11, Auction_Log!C:C, "Defender")</f>
        <v>0</v>
      </c>
      <c r="J11">
        <f>COUNTIFS(Auction_Log!D:D, A11, Auction_Log!C:C, "Goalkeeper")</f>
        <v>0</v>
      </c>
      <c r="K11" t="str">
        <f t="shared" si="1"/>
        <v>⏳ DRAFTING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1983-FBE2-43BE-AF5A-C06BDFD418C3}">
  <dimension ref="A1:F9"/>
  <sheetViews>
    <sheetView tabSelected="1" topLeftCell="A4" workbookViewId="0">
      <selection activeCell="B2" sqref="B2"/>
    </sheetView>
  </sheetViews>
  <sheetFormatPr defaultRowHeight="15"/>
  <cols>
    <col min="1" max="1" width="21.140625" customWidth="1"/>
    <col min="2" max="2" width="12" customWidth="1"/>
    <col min="3" max="3" width="17.5703125" customWidth="1"/>
    <col min="4" max="6" width="18.42578125" customWidth="1"/>
  </cols>
  <sheetData>
    <row r="1" spans="1:6">
      <c r="A1" t="s">
        <v>1006</v>
      </c>
      <c r="B1">
        <v>1</v>
      </c>
    </row>
    <row r="2" spans="1:6" s="11" customFormat="1" ht="27.75" customHeight="1">
      <c r="A2" s="11" t="s">
        <v>998</v>
      </c>
      <c r="B2" s="12" t="s">
        <v>999</v>
      </c>
      <c r="C2" s="11" t="s">
        <v>1000</v>
      </c>
      <c r="D2" s="11" t="s">
        <v>1019</v>
      </c>
      <c r="E2" s="11" t="s">
        <v>1020</v>
      </c>
    </row>
    <row r="3" spans="1:6" s="10" customFormat="1" ht="29.25" customHeight="1">
      <c r="A3" s="10" t="str">
        <f>_xlfn.XLOOKUP(B1, Dashboard!A2:A11, Dashboard!B2:B11, "Team " &amp; B1)</f>
        <v>A</v>
      </c>
      <c r="B3" s="10">
        <f>_xlfn.XLOOKUP(B1, Dashboard!A2:A11, Dashboard!C2:C11, 0)</f>
        <v>900</v>
      </c>
      <c r="C3" s="10">
        <f>_xlfn.XLOOKUP(B1, Dashboard!A2:A11, Dashboard!D2:D11, 0)</f>
        <v>0</v>
      </c>
      <c r="D3" s="10">
        <f>_xlfn.XLOOKUP(B1, Dashboard!A2:A11, Dashboard!E2:E11, 0)</f>
        <v>900</v>
      </c>
      <c r="E3" s="10" t="str">
        <f>_xlfn.XLOOKUP(B1, Dashboard!A2:A11, Dashboard!F2:F11, 0) &amp; " / 16"</f>
        <v>0 / 16</v>
      </c>
    </row>
    <row r="4" spans="1:6" s="9" customFormat="1" ht="25.5" customHeight="1">
      <c r="A4" s="9" t="s">
        <v>1008</v>
      </c>
      <c r="B4" s="9" t="s">
        <v>1009</v>
      </c>
      <c r="C4" s="9" t="s">
        <v>1010</v>
      </c>
      <c r="D4" s="9" t="s">
        <v>1011</v>
      </c>
      <c r="E4" s="9" t="s">
        <v>1012</v>
      </c>
      <c r="F4" s="9" t="s">
        <v>1013</v>
      </c>
    </row>
    <row r="5" spans="1:6">
      <c r="A5" t="s">
        <v>1014</v>
      </c>
      <c r="B5">
        <f>COUNTIFS(Auction_Log!D5:D200, B1, Auction_Log!C5:C200, "Forwards")</f>
        <v>0</v>
      </c>
      <c r="C5">
        <v>2</v>
      </c>
      <c r="D5">
        <f>MAX(0, 2 - B5)</f>
        <v>2</v>
      </c>
      <c r="E5">
        <v>4</v>
      </c>
      <c r="F5">
        <f>MAX(0, 4 - B5)</f>
        <v>4</v>
      </c>
    </row>
    <row r="6" spans="1:6">
      <c r="A6" t="s">
        <v>1015</v>
      </c>
      <c r="B6">
        <f>COUNTIFS(Auction_Log!D5:D200, B1, Auction_Log!C5:C200, "Midfield")</f>
        <v>0</v>
      </c>
      <c r="C6">
        <v>2</v>
      </c>
      <c r="D6">
        <f>MAX(0, 2 - B6)</f>
        <v>2</v>
      </c>
      <c r="E6">
        <v>5</v>
      </c>
      <c r="F6">
        <f>MAX(0, 5 - B6)</f>
        <v>5</v>
      </c>
    </row>
    <row r="7" spans="1:6">
      <c r="A7" t="s">
        <v>1016</v>
      </c>
      <c r="B7">
        <f>COUNTIFS(Auction_Log!D5:D200, B1, Auction_Log!C5:C200, "Defender")</f>
        <v>0</v>
      </c>
      <c r="C7">
        <v>3</v>
      </c>
      <c r="D7">
        <f>MAX(0, 3 - B7)</f>
        <v>3</v>
      </c>
      <c r="E7">
        <v>5</v>
      </c>
      <c r="F7">
        <f>MAX(0, 5 - B7)</f>
        <v>5</v>
      </c>
    </row>
    <row r="8" spans="1:6">
      <c r="A8" t="s">
        <v>1017</v>
      </c>
      <c r="B8">
        <f>COUNTIFS(Auction_Log!D5:D200, B1, Auction_Log!C5:C200, "Goalkeeper")</f>
        <v>0</v>
      </c>
      <c r="C8">
        <v>1</v>
      </c>
      <c r="D8">
        <f>MAX(0, 1 - B8)</f>
        <v>1</v>
      </c>
      <c r="E8">
        <v>2</v>
      </c>
      <c r="F8">
        <f>MAX(0, 2 - B8)</f>
        <v>2</v>
      </c>
    </row>
    <row r="9" spans="1:6">
      <c r="A9" t="s">
        <v>1018</v>
      </c>
      <c r="B9" s="8">
        <f>SUM(B5:B8)</f>
        <v>0</v>
      </c>
      <c r="C9">
        <v>8</v>
      </c>
      <c r="D9">
        <f>SUM(D5:D8)</f>
        <v>8</v>
      </c>
      <c r="E9">
        <v>16</v>
      </c>
      <c r="F9">
        <f>16 - B9</f>
        <v>16</v>
      </c>
    </row>
  </sheetData>
  <conditionalFormatting sqref="F5:F8">
    <cfRule type="cellIs" dxfId="5" priority="3" operator="equal">
      <formula>0</formula>
    </cfRule>
  </conditionalFormatting>
  <conditionalFormatting sqref="F5:F8">
    <cfRule type="cellIs" dxfId="4" priority="2" operator="greaterThan">
      <formula>0</formula>
    </cfRule>
  </conditionalFormatting>
  <conditionalFormatting sqref="D5:D8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Master_List</vt:lpstr>
      <vt:lpstr>Auction_Log</vt:lpstr>
      <vt:lpstr>Dashboard</vt:lpstr>
      <vt:lpstr>Team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S.</dc:creator>
  <cp:lastModifiedBy>Rishab S.</cp:lastModifiedBy>
  <dcterms:created xsi:type="dcterms:W3CDTF">2026-09-23T11:34:25Z</dcterms:created>
  <dcterms:modified xsi:type="dcterms:W3CDTF">2026-09-23T20:59:16Z</dcterms:modified>
</cp:coreProperties>
</file>